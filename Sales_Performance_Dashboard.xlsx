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13_ncr:1_{660B55B1-F6AE-447D-901F-C90531897F08}" xr6:coauthVersionLast="47" xr6:coauthVersionMax="47" xr10:uidLastSave="{00000000-0000-0000-0000-000000000000}"/>
  <bookViews>
    <workbookView xWindow="-110" yWindow="-110" windowWidth="19420" windowHeight="10300" firstSheet="1" activeTab="5" xr2:uid="{DE7AB1F9-5C13-4727-BE56-842645E04FFB}"/>
  </bookViews>
  <sheets>
    <sheet name="KPI Pivot" sheetId="2" r:id="rId1"/>
    <sheet name="Monthly Sales" sheetId="3" r:id="rId2"/>
    <sheet name="Region Sales" sheetId="4" r:id="rId3"/>
    <sheet name="Category Performance" sheetId="5" r:id="rId4"/>
    <sheet name="Product Sales" sheetId="6" r:id="rId5"/>
    <sheet name="Dashboard" sheetId="7" r:id="rId6"/>
    <sheet name="Sheet1" sheetId="1" r:id="rId7"/>
  </sheets>
  <definedNames>
    <definedName name="Slicer_Category">#N/A</definedName>
    <definedName name="Slicer_Product">#N/A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7" l="1"/>
  <c r="A13" i="7"/>
  <c r="A10" i="7"/>
  <c r="A7" i="7"/>
</calcChain>
</file>

<file path=xl/sharedStrings.xml><?xml version="1.0" encoding="utf-8"?>
<sst xmlns="http://schemas.openxmlformats.org/spreadsheetml/2006/main" count="2559" uniqueCount="1051">
  <si>
    <t>Order Date</t>
  </si>
  <si>
    <t>Customer</t>
  </si>
  <si>
    <t>Region</t>
  </si>
  <si>
    <t>Category</t>
  </si>
  <si>
    <t>Product</t>
  </si>
  <si>
    <t>Quantity</t>
  </si>
  <si>
    <t>Discount</t>
  </si>
  <si>
    <t>Sales</t>
  </si>
  <si>
    <t>Cost</t>
  </si>
  <si>
    <t>Profit</t>
  </si>
  <si>
    <t>ORD-0001</t>
  </si>
  <si>
    <t>Customer 001</t>
  </si>
  <si>
    <t>South</t>
  </si>
  <si>
    <t>Accessories</t>
  </si>
  <si>
    <t>Laptop</t>
  </si>
  <si>
    <t>ORD-0002</t>
  </si>
  <si>
    <t>Customer 002</t>
  </si>
  <si>
    <t>North</t>
  </si>
  <si>
    <t>Office Supplies</t>
  </si>
  <si>
    <t>Backpack</t>
  </si>
  <si>
    <t>ORD-0003</t>
  </si>
  <si>
    <t>Customer 003</t>
  </si>
  <si>
    <t>West</t>
  </si>
  <si>
    <t>Electronics</t>
  </si>
  <si>
    <t>Keyboard</t>
  </si>
  <si>
    <t>ORD-0004</t>
  </si>
  <si>
    <t>Customer 004</t>
  </si>
  <si>
    <t>Furniture</t>
  </si>
  <si>
    <t>Monitor</t>
  </si>
  <si>
    <t>ORD-0005</t>
  </si>
  <si>
    <t>Customer 005</t>
  </si>
  <si>
    <t>East</t>
  </si>
  <si>
    <t>Desk</t>
  </si>
  <si>
    <t>ORD-0006</t>
  </si>
  <si>
    <t>Customer 006</t>
  </si>
  <si>
    <t>ORD-0007</t>
  </si>
  <si>
    <t>Customer 007</t>
  </si>
  <si>
    <t>ORD-0008</t>
  </si>
  <si>
    <t>Customer 008</t>
  </si>
  <si>
    <t>Notebook</t>
  </si>
  <si>
    <t>ORD-0009</t>
  </si>
  <si>
    <t>Customer 009</t>
  </si>
  <si>
    <t>ORD-0010</t>
  </si>
  <si>
    <t>Customer 010</t>
  </si>
  <si>
    <t>Office Chair</t>
  </si>
  <si>
    <t>ORD-0011</t>
  </si>
  <si>
    <t>Customer 011</t>
  </si>
  <si>
    <t>ORD-0012</t>
  </si>
  <si>
    <t>Customer 012</t>
  </si>
  <si>
    <t>ORD-0013</t>
  </si>
  <si>
    <t>Customer 013</t>
  </si>
  <si>
    <t>Headphones</t>
  </si>
  <si>
    <t>ORD-0014</t>
  </si>
  <si>
    <t>Customer 014</t>
  </si>
  <si>
    <t>ORD-0015</t>
  </si>
  <si>
    <t>Customer 015</t>
  </si>
  <si>
    <t>ORD-0016</t>
  </si>
  <si>
    <t>Customer 016</t>
  </si>
  <si>
    <t>ORD-0017</t>
  </si>
  <si>
    <t>Customer 017</t>
  </si>
  <si>
    <t>ORD-0018</t>
  </si>
  <si>
    <t>Customer 018</t>
  </si>
  <si>
    <t>ORD-0019</t>
  </si>
  <si>
    <t>Customer 019</t>
  </si>
  <si>
    <t>ORD-0020</t>
  </si>
  <si>
    <t>Customer 020</t>
  </si>
  <si>
    <t>ORD-0021</t>
  </si>
  <si>
    <t>Customer 021</t>
  </si>
  <si>
    <t>ORD-0022</t>
  </si>
  <si>
    <t>Customer 022</t>
  </si>
  <si>
    <t>Smartphone</t>
  </si>
  <si>
    <t>ORD-0023</t>
  </si>
  <si>
    <t>Customer 023</t>
  </si>
  <si>
    <t>ORD-0024</t>
  </si>
  <si>
    <t>Customer 024</t>
  </si>
  <si>
    <t>ORD-0025</t>
  </si>
  <si>
    <t>Customer 025</t>
  </si>
  <si>
    <t>ORD-0026</t>
  </si>
  <si>
    <t>Customer 026</t>
  </si>
  <si>
    <t>ORD-0027</t>
  </si>
  <si>
    <t>Customer 027</t>
  </si>
  <si>
    <t>Printer</t>
  </si>
  <si>
    <t>ORD-0028</t>
  </si>
  <si>
    <t>Customer 028</t>
  </si>
  <si>
    <t>ORD-0029</t>
  </si>
  <si>
    <t>Customer 029</t>
  </si>
  <si>
    <t>ORD-0030</t>
  </si>
  <si>
    <t>Customer 030</t>
  </si>
  <si>
    <t>ORD-0031</t>
  </si>
  <si>
    <t>Customer 031</t>
  </si>
  <si>
    <t>ORD-0032</t>
  </si>
  <si>
    <t>Customer 032</t>
  </si>
  <si>
    <t>ORD-0033</t>
  </si>
  <si>
    <t>Customer 033</t>
  </si>
  <si>
    <t>ORD-0034</t>
  </si>
  <si>
    <t>Customer 034</t>
  </si>
  <si>
    <t>ORD-0035</t>
  </si>
  <si>
    <t>Customer 035</t>
  </si>
  <si>
    <t>ORD-0036</t>
  </si>
  <si>
    <t>Customer 036</t>
  </si>
  <si>
    <t>ORD-0037</t>
  </si>
  <si>
    <t>Customer 037</t>
  </si>
  <si>
    <t>ORD-0038</t>
  </si>
  <si>
    <t>Customer 038</t>
  </si>
  <si>
    <t>ORD-0039</t>
  </si>
  <si>
    <t>Customer 039</t>
  </si>
  <si>
    <t>ORD-0040</t>
  </si>
  <si>
    <t>Customer 040</t>
  </si>
  <si>
    <t>ORD-0041</t>
  </si>
  <si>
    <t>Customer 041</t>
  </si>
  <si>
    <t>ORD-0042</t>
  </si>
  <si>
    <t>Customer 042</t>
  </si>
  <si>
    <t>ORD-0043</t>
  </si>
  <si>
    <t>Customer 043</t>
  </si>
  <si>
    <t>ORD-0044</t>
  </si>
  <si>
    <t>Customer 044</t>
  </si>
  <si>
    <t>ORD-0045</t>
  </si>
  <si>
    <t>Customer 045</t>
  </si>
  <si>
    <t>ORD-0046</t>
  </si>
  <si>
    <t>Customer 046</t>
  </si>
  <si>
    <t>ORD-0047</t>
  </si>
  <si>
    <t>Customer 047</t>
  </si>
  <si>
    <t>ORD-0048</t>
  </si>
  <si>
    <t>Customer 048</t>
  </si>
  <si>
    <t>ORD-0049</t>
  </si>
  <si>
    <t>Customer 049</t>
  </si>
  <si>
    <t>ORD-0050</t>
  </si>
  <si>
    <t>Customer 050</t>
  </si>
  <si>
    <t>ORD-0051</t>
  </si>
  <si>
    <t>Customer 051</t>
  </si>
  <si>
    <t>ORD-0052</t>
  </si>
  <si>
    <t>Customer 052</t>
  </si>
  <si>
    <t>ORD-0053</t>
  </si>
  <si>
    <t>Customer 053</t>
  </si>
  <si>
    <t>ORD-0054</t>
  </si>
  <si>
    <t>Customer 054</t>
  </si>
  <si>
    <t>ORD-0055</t>
  </si>
  <si>
    <t>Customer 055</t>
  </si>
  <si>
    <t>ORD-0056</t>
  </si>
  <si>
    <t>Customer 056</t>
  </si>
  <si>
    <t>ORD-0057</t>
  </si>
  <si>
    <t>Customer 057</t>
  </si>
  <si>
    <t>ORD-0058</t>
  </si>
  <si>
    <t>Customer 058</t>
  </si>
  <si>
    <t>ORD-0059</t>
  </si>
  <si>
    <t>Customer 059</t>
  </si>
  <si>
    <t>ORD-0060</t>
  </si>
  <si>
    <t>Customer 060</t>
  </si>
  <si>
    <t>ORD-0061</t>
  </si>
  <si>
    <t>Customer 061</t>
  </si>
  <si>
    <t>ORD-0062</t>
  </si>
  <si>
    <t>Customer 062</t>
  </si>
  <si>
    <t>ORD-0063</t>
  </si>
  <si>
    <t>Customer 063</t>
  </si>
  <si>
    <t>ORD-0064</t>
  </si>
  <si>
    <t>Customer 064</t>
  </si>
  <si>
    <t>ORD-0065</t>
  </si>
  <si>
    <t>Customer 065</t>
  </si>
  <si>
    <t>ORD-0066</t>
  </si>
  <si>
    <t>Customer 066</t>
  </si>
  <si>
    <t>ORD-0067</t>
  </si>
  <si>
    <t>Customer 067</t>
  </si>
  <si>
    <t>ORD-0068</t>
  </si>
  <si>
    <t>Customer 068</t>
  </si>
  <si>
    <t>ORD-0069</t>
  </si>
  <si>
    <t>Customer 069</t>
  </si>
  <si>
    <t>ORD-0070</t>
  </si>
  <si>
    <t>Customer 070</t>
  </si>
  <si>
    <t>ORD-0071</t>
  </si>
  <si>
    <t>Customer 071</t>
  </si>
  <si>
    <t>ORD-0072</t>
  </si>
  <si>
    <t>Customer 072</t>
  </si>
  <si>
    <t>ORD-0073</t>
  </si>
  <si>
    <t>Customer 073</t>
  </si>
  <si>
    <t>ORD-0074</t>
  </si>
  <si>
    <t>Customer 074</t>
  </si>
  <si>
    <t>ORD-0075</t>
  </si>
  <si>
    <t>Customer 075</t>
  </si>
  <si>
    <t>ORD-0076</t>
  </si>
  <si>
    <t>Customer 076</t>
  </si>
  <si>
    <t>ORD-0077</t>
  </si>
  <si>
    <t>Customer 077</t>
  </si>
  <si>
    <t>ORD-0078</t>
  </si>
  <si>
    <t>Customer 078</t>
  </si>
  <si>
    <t>ORD-0079</t>
  </si>
  <si>
    <t>Customer 079</t>
  </si>
  <si>
    <t>ORD-0080</t>
  </si>
  <si>
    <t>Customer 080</t>
  </si>
  <si>
    <t>ORD-0081</t>
  </si>
  <si>
    <t>Customer 081</t>
  </si>
  <si>
    <t>ORD-0082</t>
  </si>
  <si>
    <t>Customer 082</t>
  </si>
  <si>
    <t>ORD-0083</t>
  </si>
  <si>
    <t>Customer 083</t>
  </si>
  <si>
    <t>ORD-0084</t>
  </si>
  <si>
    <t>Customer 084</t>
  </si>
  <si>
    <t>ORD-0085</t>
  </si>
  <si>
    <t>Customer 085</t>
  </si>
  <si>
    <t>ORD-0086</t>
  </si>
  <si>
    <t>Customer 086</t>
  </si>
  <si>
    <t>ORD-0087</t>
  </si>
  <si>
    <t>Customer 087</t>
  </si>
  <si>
    <t>ORD-0088</t>
  </si>
  <si>
    <t>Customer 088</t>
  </si>
  <si>
    <t>ORD-0089</t>
  </si>
  <si>
    <t>Customer 089</t>
  </si>
  <si>
    <t>ORD-0090</t>
  </si>
  <si>
    <t>Customer 090</t>
  </si>
  <si>
    <t>ORD-0091</t>
  </si>
  <si>
    <t>Customer 091</t>
  </si>
  <si>
    <t>ORD-0092</t>
  </si>
  <si>
    <t>Customer 092</t>
  </si>
  <si>
    <t>ORD-0093</t>
  </si>
  <si>
    <t>Customer 093</t>
  </si>
  <si>
    <t>ORD-0094</t>
  </si>
  <si>
    <t>Customer 094</t>
  </si>
  <si>
    <t>ORD-0095</t>
  </si>
  <si>
    <t>Customer 095</t>
  </si>
  <si>
    <t>ORD-0096</t>
  </si>
  <si>
    <t>Customer 096</t>
  </si>
  <si>
    <t>ORD-0097</t>
  </si>
  <si>
    <t>Customer 097</t>
  </si>
  <si>
    <t>ORD-0098</t>
  </si>
  <si>
    <t>Customer 098</t>
  </si>
  <si>
    <t>ORD-0099</t>
  </si>
  <si>
    <t>Customer 099</t>
  </si>
  <si>
    <t>ORD-0100</t>
  </si>
  <si>
    <t>Customer 100</t>
  </si>
  <si>
    <t>ORD-0101</t>
  </si>
  <si>
    <t>Customer 101</t>
  </si>
  <si>
    <t>ORD-0102</t>
  </si>
  <si>
    <t>Customer 102</t>
  </si>
  <si>
    <t>ORD-0103</t>
  </si>
  <si>
    <t>Customer 103</t>
  </si>
  <si>
    <t>ORD-0104</t>
  </si>
  <si>
    <t>Customer 104</t>
  </si>
  <si>
    <t>ORD-0105</t>
  </si>
  <si>
    <t>Customer 105</t>
  </si>
  <si>
    <t>ORD-0106</t>
  </si>
  <si>
    <t>Customer 106</t>
  </si>
  <si>
    <t>ORD-0107</t>
  </si>
  <si>
    <t>Customer 107</t>
  </si>
  <si>
    <t>ORD-0108</t>
  </si>
  <si>
    <t>Customer 108</t>
  </si>
  <si>
    <t>ORD-0109</t>
  </si>
  <si>
    <t>Customer 109</t>
  </si>
  <si>
    <t>ORD-0110</t>
  </si>
  <si>
    <t>Customer 110</t>
  </si>
  <si>
    <t>ORD-0111</t>
  </si>
  <si>
    <t>Customer 111</t>
  </si>
  <si>
    <t>ORD-0112</t>
  </si>
  <si>
    <t>Customer 112</t>
  </si>
  <si>
    <t>ORD-0113</t>
  </si>
  <si>
    <t>Customer 113</t>
  </si>
  <si>
    <t>ORD-0114</t>
  </si>
  <si>
    <t>Customer 114</t>
  </si>
  <si>
    <t>ORD-0115</t>
  </si>
  <si>
    <t>Customer 115</t>
  </si>
  <si>
    <t>ORD-0116</t>
  </si>
  <si>
    <t>Customer 116</t>
  </si>
  <si>
    <t>ORD-0117</t>
  </si>
  <si>
    <t>Customer 117</t>
  </si>
  <si>
    <t>ORD-0118</t>
  </si>
  <si>
    <t>Customer 118</t>
  </si>
  <si>
    <t>ORD-0119</t>
  </si>
  <si>
    <t>Customer 119</t>
  </si>
  <si>
    <t>ORD-0120</t>
  </si>
  <si>
    <t>Customer 120</t>
  </si>
  <si>
    <t>ORD-0121</t>
  </si>
  <si>
    <t>Customer 121</t>
  </si>
  <si>
    <t>ORD-0122</t>
  </si>
  <si>
    <t>Customer 122</t>
  </si>
  <si>
    <t>ORD-0123</t>
  </si>
  <si>
    <t>Customer 123</t>
  </si>
  <si>
    <t>ORD-0124</t>
  </si>
  <si>
    <t>Customer 124</t>
  </si>
  <si>
    <t>ORD-0125</t>
  </si>
  <si>
    <t>Customer 125</t>
  </si>
  <si>
    <t>ORD-0126</t>
  </si>
  <si>
    <t>Customer 126</t>
  </si>
  <si>
    <t>ORD-0127</t>
  </si>
  <si>
    <t>Customer 127</t>
  </si>
  <si>
    <t>ORD-0128</t>
  </si>
  <si>
    <t>Customer 128</t>
  </si>
  <si>
    <t>ORD-0129</t>
  </si>
  <si>
    <t>Customer 129</t>
  </si>
  <si>
    <t>ORD-0130</t>
  </si>
  <si>
    <t>Customer 130</t>
  </si>
  <si>
    <t>ORD-0131</t>
  </si>
  <si>
    <t>Customer 131</t>
  </si>
  <si>
    <t>ORD-0132</t>
  </si>
  <si>
    <t>Customer 132</t>
  </si>
  <si>
    <t>ORD-0133</t>
  </si>
  <si>
    <t>Customer 133</t>
  </si>
  <si>
    <t>ORD-0134</t>
  </si>
  <si>
    <t>Customer 134</t>
  </si>
  <si>
    <t>ORD-0135</t>
  </si>
  <si>
    <t>Customer 135</t>
  </si>
  <si>
    <t>ORD-0136</t>
  </si>
  <si>
    <t>Customer 136</t>
  </si>
  <si>
    <t>ORD-0137</t>
  </si>
  <si>
    <t>Customer 137</t>
  </si>
  <si>
    <t>ORD-0138</t>
  </si>
  <si>
    <t>Customer 138</t>
  </si>
  <si>
    <t>ORD-0139</t>
  </si>
  <si>
    <t>Customer 139</t>
  </si>
  <si>
    <t>ORD-0140</t>
  </si>
  <si>
    <t>Customer 140</t>
  </si>
  <si>
    <t>ORD-0141</t>
  </si>
  <si>
    <t>Customer 141</t>
  </si>
  <si>
    <t>ORD-0142</t>
  </si>
  <si>
    <t>Customer 142</t>
  </si>
  <si>
    <t>ORD-0143</t>
  </si>
  <si>
    <t>Customer 143</t>
  </si>
  <si>
    <t>ORD-0144</t>
  </si>
  <si>
    <t>Customer 144</t>
  </si>
  <si>
    <t>ORD-0145</t>
  </si>
  <si>
    <t>Customer 145</t>
  </si>
  <si>
    <t>ORD-0146</t>
  </si>
  <si>
    <t>Customer 146</t>
  </si>
  <si>
    <t>ORD-0147</t>
  </si>
  <si>
    <t>Customer 147</t>
  </si>
  <si>
    <t>ORD-0148</t>
  </si>
  <si>
    <t>Customer 148</t>
  </si>
  <si>
    <t>ORD-0149</t>
  </si>
  <si>
    <t>Customer 149</t>
  </si>
  <si>
    <t>ORD-0150</t>
  </si>
  <si>
    <t>Customer 150</t>
  </si>
  <si>
    <t>ORD-0151</t>
  </si>
  <si>
    <t>Customer 151</t>
  </si>
  <si>
    <t>ORD-0152</t>
  </si>
  <si>
    <t>Customer 152</t>
  </si>
  <si>
    <t>ORD-0153</t>
  </si>
  <si>
    <t>Customer 153</t>
  </si>
  <si>
    <t>ORD-0154</t>
  </si>
  <si>
    <t>Customer 154</t>
  </si>
  <si>
    <t>ORD-0155</t>
  </si>
  <si>
    <t>Customer 155</t>
  </si>
  <si>
    <t>ORD-0156</t>
  </si>
  <si>
    <t>Customer 156</t>
  </si>
  <si>
    <t>ORD-0157</t>
  </si>
  <si>
    <t>Customer 157</t>
  </si>
  <si>
    <t>ORD-0158</t>
  </si>
  <si>
    <t>Customer 158</t>
  </si>
  <si>
    <t>ORD-0159</t>
  </si>
  <si>
    <t>Customer 159</t>
  </si>
  <si>
    <t>ORD-0160</t>
  </si>
  <si>
    <t>Customer 160</t>
  </si>
  <si>
    <t>ORD-0161</t>
  </si>
  <si>
    <t>Customer 161</t>
  </si>
  <si>
    <t>ORD-0162</t>
  </si>
  <si>
    <t>Customer 162</t>
  </si>
  <si>
    <t>ORD-0163</t>
  </si>
  <si>
    <t>Customer 163</t>
  </si>
  <si>
    <t>ORD-0164</t>
  </si>
  <si>
    <t>Customer 164</t>
  </si>
  <si>
    <t>ORD-0165</t>
  </si>
  <si>
    <t>Customer 165</t>
  </si>
  <si>
    <t>ORD-0166</t>
  </si>
  <si>
    <t>Customer 166</t>
  </si>
  <si>
    <t>ORD-0167</t>
  </si>
  <si>
    <t>Customer 167</t>
  </si>
  <si>
    <t>ORD-0168</t>
  </si>
  <si>
    <t>Customer 168</t>
  </si>
  <si>
    <t>ORD-0169</t>
  </si>
  <si>
    <t>Customer 169</t>
  </si>
  <si>
    <t>ORD-0170</t>
  </si>
  <si>
    <t>Customer 170</t>
  </si>
  <si>
    <t>ORD-0171</t>
  </si>
  <si>
    <t>Customer 171</t>
  </si>
  <si>
    <t>ORD-0172</t>
  </si>
  <si>
    <t>Customer 172</t>
  </si>
  <si>
    <t>ORD-0173</t>
  </si>
  <si>
    <t>Customer 173</t>
  </si>
  <si>
    <t>ORD-0174</t>
  </si>
  <si>
    <t>Customer 174</t>
  </si>
  <si>
    <t>ORD-0175</t>
  </si>
  <si>
    <t>Customer 175</t>
  </si>
  <si>
    <t>ORD-0176</t>
  </si>
  <si>
    <t>Customer 176</t>
  </si>
  <si>
    <t>ORD-0177</t>
  </si>
  <si>
    <t>Customer 177</t>
  </si>
  <si>
    <t>ORD-0178</t>
  </si>
  <si>
    <t>Customer 178</t>
  </si>
  <si>
    <t>ORD-0179</t>
  </si>
  <si>
    <t>Customer 179</t>
  </si>
  <si>
    <t>ORD-0180</t>
  </si>
  <si>
    <t>Customer 180</t>
  </si>
  <si>
    <t>ORD-0181</t>
  </si>
  <si>
    <t>Customer 181</t>
  </si>
  <si>
    <t>ORD-0182</t>
  </si>
  <si>
    <t>Customer 182</t>
  </si>
  <si>
    <t>ORD-0183</t>
  </si>
  <si>
    <t>Customer 183</t>
  </si>
  <si>
    <t>ORD-0184</t>
  </si>
  <si>
    <t>Customer 184</t>
  </si>
  <si>
    <t>ORD-0185</t>
  </si>
  <si>
    <t>Customer 185</t>
  </si>
  <si>
    <t>ORD-0186</t>
  </si>
  <si>
    <t>Customer 186</t>
  </si>
  <si>
    <t>ORD-0187</t>
  </si>
  <si>
    <t>Customer 187</t>
  </si>
  <si>
    <t>ORD-0188</t>
  </si>
  <si>
    <t>Customer 188</t>
  </si>
  <si>
    <t>ORD-0189</t>
  </si>
  <si>
    <t>Customer 189</t>
  </si>
  <si>
    <t>ORD-0190</t>
  </si>
  <si>
    <t>Customer 190</t>
  </si>
  <si>
    <t>ORD-0191</t>
  </si>
  <si>
    <t>Customer 191</t>
  </si>
  <si>
    <t>ORD-0192</t>
  </si>
  <si>
    <t>Customer 192</t>
  </si>
  <si>
    <t>ORD-0193</t>
  </si>
  <si>
    <t>Customer 193</t>
  </si>
  <si>
    <t>ORD-0194</t>
  </si>
  <si>
    <t>Customer 194</t>
  </si>
  <si>
    <t>ORD-0195</t>
  </si>
  <si>
    <t>Customer 195</t>
  </si>
  <si>
    <t>ORD-0196</t>
  </si>
  <si>
    <t>Customer 196</t>
  </si>
  <si>
    <t>ORD-0197</t>
  </si>
  <si>
    <t>Customer 197</t>
  </si>
  <si>
    <t>ORD-0198</t>
  </si>
  <si>
    <t>Customer 198</t>
  </si>
  <si>
    <t>ORD-0199</t>
  </si>
  <si>
    <t>Customer 199</t>
  </si>
  <si>
    <t>ORD-0200</t>
  </si>
  <si>
    <t>Customer 200</t>
  </si>
  <si>
    <t>ORD-0201</t>
  </si>
  <si>
    <t>Customer 201</t>
  </si>
  <si>
    <t>ORD-0202</t>
  </si>
  <si>
    <t>Customer 202</t>
  </si>
  <si>
    <t>ORD-0203</t>
  </si>
  <si>
    <t>Customer 203</t>
  </si>
  <si>
    <t>ORD-0204</t>
  </si>
  <si>
    <t>Customer 204</t>
  </si>
  <si>
    <t>ORD-0205</t>
  </si>
  <si>
    <t>Customer 205</t>
  </si>
  <si>
    <t>ORD-0206</t>
  </si>
  <si>
    <t>Customer 206</t>
  </si>
  <si>
    <t>ORD-0207</t>
  </si>
  <si>
    <t>Customer 207</t>
  </si>
  <si>
    <t>ORD-0208</t>
  </si>
  <si>
    <t>Customer 208</t>
  </si>
  <si>
    <t>ORD-0209</t>
  </si>
  <si>
    <t>Customer 209</t>
  </si>
  <si>
    <t>ORD-0210</t>
  </si>
  <si>
    <t>Customer 210</t>
  </si>
  <si>
    <t>ORD-0211</t>
  </si>
  <si>
    <t>Customer 211</t>
  </si>
  <si>
    <t>ORD-0212</t>
  </si>
  <si>
    <t>Customer 212</t>
  </si>
  <si>
    <t>ORD-0213</t>
  </si>
  <si>
    <t>Customer 213</t>
  </si>
  <si>
    <t>ORD-0214</t>
  </si>
  <si>
    <t>Customer 214</t>
  </si>
  <si>
    <t>ORD-0215</t>
  </si>
  <si>
    <t>Customer 215</t>
  </si>
  <si>
    <t>ORD-0216</t>
  </si>
  <si>
    <t>Customer 216</t>
  </si>
  <si>
    <t>ORD-0217</t>
  </si>
  <si>
    <t>Customer 217</t>
  </si>
  <si>
    <t>ORD-0218</t>
  </si>
  <si>
    <t>Customer 218</t>
  </si>
  <si>
    <t>ORD-0219</t>
  </si>
  <si>
    <t>Customer 219</t>
  </si>
  <si>
    <t>ORD-0220</t>
  </si>
  <si>
    <t>Customer 220</t>
  </si>
  <si>
    <t>ORD-0221</t>
  </si>
  <si>
    <t>Customer 221</t>
  </si>
  <si>
    <t>ORD-0222</t>
  </si>
  <si>
    <t>Customer 222</t>
  </si>
  <si>
    <t>ORD-0223</t>
  </si>
  <si>
    <t>Customer 223</t>
  </si>
  <si>
    <t>ORD-0224</t>
  </si>
  <si>
    <t>Customer 224</t>
  </si>
  <si>
    <t>ORD-0225</t>
  </si>
  <si>
    <t>Customer 225</t>
  </si>
  <si>
    <t>ORD-0226</t>
  </si>
  <si>
    <t>Customer 226</t>
  </si>
  <si>
    <t>ORD-0227</t>
  </si>
  <si>
    <t>Customer 227</t>
  </si>
  <si>
    <t>ORD-0228</t>
  </si>
  <si>
    <t>Customer 228</t>
  </si>
  <si>
    <t>ORD-0229</t>
  </si>
  <si>
    <t>Customer 229</t>
  </si>
  <si>
    <t>ORD-0230</t>
  </si>
  <si>
    <t>Customer 230</t>
  </si>
  <si>
    <t>ORD-0231</t>
  </si>
  <si>
    <t>Customer 231</t>
  </si>
  <si>
    <t>ORD-0232</t>
  </si>
  <si>
    <t>Customer 232</t>
  </si>
  <si>
    <t>ORD-0233</t>
  </si>
  <si>
    <t>Customer 233</t>
  </si>
  <si>
    <t>ORD-0234</t>
  </si>
  <si>
    <t>Customer 234</t>
  </si>
  <si>
    <t>ORD-0235</t>
  </si>
  <si>
    <t>Customer 235</t>
  </si>
  <si>
    <t>ORD-0236</t>
  </si>
  <si>
    <t>Customer 236</t>
  </si>
  <si>
    <t>ORD-0237</t>
  </si>
  <si>
    <t>Customer 237</t>
  </si>
  <si>
    <t>ORD-0238</t>
  </si>
  <si>
    <t>Customer 238</t>
  </si>
  <si>
    <t>ORD-0239</t>
  </si>
  <si>
    <t>Customer 239</t>
  </si>
  <si>
    <t>ORD-0240</t>
  </si>
  <si>
    <t>Customer 240</t>
  </si>
  <si>
    <t>ORD-0241</t>
  </si>
  <si>
    <t>Customer 241</t>
  </si>
  <si>
    <t>ORD-0242</t>
  </si>
  <si>
    <t>Customer 242</t>
  </si>
  <si>
    <t>ORD-0243</t>
  </si>
  <si>
    <t>Customer 243</t>
  </si>
  <si>
    <t>ORD-0244</t>
  </si>
  <si>
    <t>Customer 244</t>
  </si>
  <si>
    <t>ORD-0245</t>
  </si>
  <si>
    <t>Customer 245</t>
  </si>
  <si>
    <t>ORD-0246</t>
  </si>
  <si>
    <t>Customer 246</t>
  </si>
  <si>
    <t>ORD-0247</t>
  </si>
  <si>
    <t>Customer 247</t>
  </si>
  <si>
    <t>ORD-0248</t>
  </si>
  <si>
    <t>Customer 248</t>
  </si>
  <si>
    <t>ORD-0249</t>
  </si>
  <si>
    <t>Customer 249</t>
  </si>
  <si>
    <t>ORD-0250</t>
  </si>
  <si>
    <t>Customer 250</t>
  </si>
  <si>
    <t>ORD-0251</t>
  </si>
  <si>
    <t>Customer 251</t>
  </si>
  <si>
    <t>ORD-0252</t>
  </si>
  <si>
    <t>Customer 252</t>
  </si>
  <si>
    <t>ORD-0253</t>
  </si>
  <si>
    <t>Customer 253</t>
  </si>
  <si>
    <t>ORD-0254</t>
  </si>
  <si>
    <t>Customer 254</t>
  </si>
  <si>
    <t>ORD-0255</t>
  </si>
  <si>
    <t>Customer 255</t>
  </si>
  <si>
    <t>ORD-0256</t>
  </si>
  <si>
    <t>Customer 256</t>
  </si>
  <si>
    <t>ORD-0257</t>
  </si>
  <si>
    <t>Customer 257</t>
  </si>
  <si>
    <t>ORD-0258</t>
  </si>
  <si>
    <t>Customer 258</t>
  </si>
  <si>
    <t>ORD-0259</t>
  </si>
  <si>
    <t>Customer 259</t>
  </si>
  <si>
    <t>ORD-0260</t>
  </si>
  <si>
    <t>Customer 260</t>
  </si>
  <si>
    <t>ORD-0261</t>
  </si>
  <si>
    <t>Customer 261</t>
  </si>
  <si>
    <t>ORD-0262</t>
  </si>
  <si>
    <t>Customer 262</t>
  </si>
  <si>
    <t>ORD-0263</t>
  </si>
  <si>
    <t>Customer 263</t>
  </si>
  <si>
    <t>ORD-0264</t>
  </si>
  <si>
    <t>Customer 264</t>
  </si>
  <si>
    <t>ORD-0265</t>
  </si>
  <si>
    <t>Customer 265</t>
  </si>
  <si>
    <t>ORD-0266</t>
  </si>
  <si>
    <t>Customer 266</t>
  </si>
  <si>
    <t>ORD-0267</t>
  </si>
  <si>
    <t>Customer 267</t>
  </si>
  <si>
    <t>ORD-0268</t>
  </si>
  <si>
    <t>Customer 268</t>
  </si>
  <si>
    <t>ORD-0269</t>
  </si>
  <si>
    <t>Customer 269</t>
  </si>
  <si>
    <t>ORD-0270</t>
  </si>
  <si>
    <t>Customer 270</t>
  </si>
  <si>
    <t>ORD-0271</t>
  </si>
  <si>
    <t>Customer 271</t>
  </si>
  <si>
    <t>ORD-0272</t>
  </si>
  <si>
    <t>Customer 272</t>
  </si>
  <si>
    <t>ORD-0273</t>
  </si>
  <si>
    <t>Customer 273</t>
  </si>
  <si>
    <t>ORD-0274</t>
  </si>
  <si>
    <t>Customer 274</t>
  </si>
  <si>
    <t>ORD-0275</t>
  </si>
  <si>
    <t>Customer 275</t>
  </si>
  <si>
    <t>ORD-0276</t>
  </si>
  <si>
    <t>Customer 276</t>
  </si>
  <si>
    <t>ORD-0277</t>
  </si>
  <si>
    <t>Customer 277</t>
  </si>
  <si>
    <t>ORD-0278</t>
  </si>
  <si>
    <t>Customer 278</t>
  </si>
  <si>
    <t>ORD-0279</t>
  </si>
  <si>
    <t>Customer 279</t>
  </si>
  <si>
    <t>ORD-0280</t>
  </si>
  <si>
    <t>Customer 280</t>
  </si>
  <si>
    <t>ORD-0281</t>
  </si>
  <si>
    <t>Customer 281</t>
  </si>
  <si>
    <t>ORD-0282</t>
  </si>
  <si>
    <t>Customer 282</t>
  </si>
  <si>
    <t>ORD-0283</t>
  </si>
  <si>
    <t>Customer 283</t>
  </si>
  <si>
    <t>ORD-0284</t>
  </si>
  <si>
    <t>Customer 284</t>
  </si>
  <si>
    <t>ORD-0285</t>
  </si>
  <si>
    <t>Customer 285</t>
  </si>
  <si>
    <t>ORD-0286</t>
  </si>
  <si>
    <t>Customer 286</t>
  </si>
  <si>
    <t>ORD-0287</t>
  </si>
  <si>
    <t>Customer 287</t>
  </si>
  <si>
    <t>ORD-0288</t>
  </si>
  <si>
    <t>Customer 288</t>
  </si>
  <si>
    <t>ORD-0289</t>
  </si>
  <si>
    <t>Customer 289</t>
  </si>
  <si>
    <t>ORD-0290</t>
  </si>
  <si>
    <t>Customer 290</t>
  </si>
  <si>
    <t>ORD-0291</t>
  </si>
  <si>
    <t>Customer 291</t>
  </si>
  <si>
    <t>ORD-0292</t>
  </si>
  <si>
    <t>Customer 292</t>
  </si>
  <si>
    <t>ORD-0293</t>
  </si>
  <si>
    <t>Customer 293</t>
  </si>
  <si>
    <t>ORD-0294</t>
  </si>
  <si>
    <t>Customer 294</t>
  </si>
  <si>
    <t>ORD-0295</t>
  </si>
  <si>
    <t>Customer 295</t>
  </si>
  <si>
    <t>ORD-0296</t>
  </si>
  <si>
    <t>Customer 296</t>
  </si>
  <si>
    <t>ORD-0297</t>
  </si>
  <si>
    <t>Customer 297</t>
  </si>
  <si>
    <t>ORD-0298</t>
  </si>
  <si>
    <t>Customer 298</t>
  </si>
  <si>
    <t>ORD-0299</t>
  </si>
  <si>
    <t>Customer 299</t>
  </si>
  <si>
    <t>ORD-0300</t>
  </si>
  <si>
    <t>Customer 300</t>
  </si>
  <si>
    <t>ORD-0301</t>
  </si>
  <si>
    <t>Customer 301</t>
  </si>
  <si>
    <t>ORD-0302</t>
  </si>
  <si>
    <t>Customer 302</t>
  </si>
  <si>
    <t>ORD-0303</t>
  </si>
  <si>
    <t>Customer 303</t>
  </si>
  <si>
    <t>ORD-0304</t>
  </si>
  <si>
    <t>Customer 304</t>
  </si>
  <si>
    <t>ORD-0305</t>
  </si>
  <si>
    <t>Customer 305</t>
  </si>
  <si>
    <t>ORD-0306</t>
  </si>
  <si>
    <t>Customer 306</t>
  </si>
  <si>
    <t>ORD-0307</t>
  </si>
  <si>
    <t>Customer 307</t>
  </si>
  <si>
    <t>ORD-0308</t>
  </si>
  <si>
    <t>Customer 308</t>
  </si>
  <si>
    <t>ORD-0309</t>
  </si>
  <si>
    <t>Customer 309</t>
  </si>
  <si>
    <t>ORD-0310</t>
  </si>
  <si>
    <t>Customer 310</t>
  </si>
  <si>
    <t>ORD-0311</t>
  </si>
  <si>
    <t>Customer 311</t>
  </si>
  <si>
    <t>ORD-0312</t>
  </si>
  <si>
    <t>Customer 312</t>
  </si>
  <si>
    <t>ORD-0313</t>
  </si>
  <si>
    <t>Customer 313</t>
  </si>
  <si>
    <t>ORD-0314</t>
  </si>
  <si>
    <t>Customer 314</t>
  </si>
  <si>
    <t>ORD-0315</t>
  </si>
  <si>
    <t>Customer 315</t>
  </si>
  <si>
    <t>ORD-0316</t>
  </si>
  <si>
    <t>Customer 316</t>
  </si>
  <si>
    <t>ORD-0317</t>
  </si>
  <si>
    <t>Customer 317</t>
  </si>
  <si>
    <t>ORD-0318</t>
  </si>
  <si>
    <t>Customer 318</t>
  </si>
  <si>
    <t>ORD-0319</t>
  </si>
  <si>
    <t>Customer 319</t>
  </si>
  <si>
    <t>ORD-0320</t>
  </si>
  <si>
    <t>Customer 320</t>
  </si>
  <si>
    <t>ORD-0321</t>
  </si>
  <si>
    <t>Customer 321</t>
  </si>
  <si>
    <t>ORD-0322</t>
  </si>
  <si>
    <t>Customer 322</t>
  </si>
  <si>
    <t>ORD-0323</t>
  </si>
  <si>
    <t>Customer 323</t>
  </si>
  <si>
    <t>ORD-0324</t>
  </si>
  <si>
    <t>Customer 324</t>
  </si>
  <si>
    <t>ORD-0325</t>
  </si>
  <si>
    <t>Customer 325</t>
  </si>
  <si>
    <t>ORD-0326</t>
  </si>
  <si>
    <t>Customer 326</t>
  </si>
  <si>
    <t>ORD-0327</t>
  </si>
  <si>
    <t>Customer 327</t>
  </si>
  <si>
    <t>ORD-0328</t>
  </si>
  <si>
    <t>Customer 328</t>
  </si>
  <si>
    <t>ORD-0329</t>
  </si>
  <si>
    <t>Customer 329</t>
  </si>
  <si>
    <t>ORD-0330</t>
  </si>
  <si>
    <t>Customer 330</t>
  </si>
  <si>
    <t>ORD-0331</t>
  </si>
  <si>
    <t>Customer 331</t>
  </si>
  <si>
    <t>ORD-0332</t>
  </si>
  <si>
    <t>Customer 332</t>
  </si>
  <si>
    <t>ORD-0333</t>
  </si>
  <si>
    <t>Customer 333</t>
  </si>
  <si>
    <t>ORD-0334</t>
  </si>
  <si>
    <t>Customer 334</t>
  </si>
  <si>
    <t>ORD-0335</t>
  </si>
  <si>
    <t>Customer 335</t>
  </si>
  <si>
    <t>ORD-0336</t>
  </si>
  <si>
    <t>Customer 336</t>
  </si>
  <si>
    <t>ORD-0337</t>
  </si>
  <si>
    <t>Customer 337</t>
  </si>
  <si>
    <t>ORD-0338</t>
  </si>
  <si>
    <t>Customer 338</t>
  </si>
  <si>
    <t>ORD-0339</t>
  </si>
  <si>
    <t>Customer 339</t>
  </si>
  <si>
    <t>ORD-0340</t>
  </si>
  <si>
    <t>Customer 340</t>
  </si>
  <si>
    <t>ORD-0341</t>
  </si>
  <si>
    <t>Customer 341</t>
  </si>
  <si>
    <t>ORD-0342</t>
  </si>
  <si>
    <t>Customer 342</t>
  </si>
  <si>
    <t>ORD-0343</t>
  </si>
  <si>
    <t>Customer 343</t>
  </si>
  <si>
    <t>ORD-0344</t>
  </si>
  <si>
    <t>Customer 344</t>
  </si>
  <si>
    <t>ORD-0345</t>
  </si>
  <si>
    <t>Customer 345</t>
  </si>
  <si>
    <t>ORD-0346</t>
  </si>
  <si>
    <t>Customer 346</t>
  </si>
  <si>
    <t>ORD-0347</t>
  </si>
  <si>
    <t>Customer 347</t>
  </si>
  <si>
    <t>ORD-0348</t>
  </si>
  <si>
    <t>Customer 348</t>
  </si>
  <si>
    <t>ORD-0349</t>
  </si>
  <si>
    <t>Customer 349</t>
  </si>
  <si>
    <t>ORD-0350</t>
  </si>
  <si>
    <t>Customer 350</t>
  </si>
  <si>
    <t>ORD-0351</t>
  </si>
  <si>
    <t>Customer 351</t>
  </si>
  <si>
    <t>ORD-0352</t>
  </si>
  <si>
    <t>Customer 352</t>
  </si>
  <si>
    <t>ORD-0353</t>
  </si>
  <si>
    <t>Customer 353</t>
  </si>
  <si>
    <t>ORD-0354</t>
  </si>
  <si>
    <t>Customer 354</t>
  </si>
  <si>
    <t>ORD-0355</t>
  </si>
  <si>
    <t>Customer 355</t>
  </si>
  <si>
    <t>ORD-0356</t>
  </si>
  <si>
    <t>Customer 356</t>
  </si>
  <si>
    <t>ORD-0357</t>
  </si>
  <si>
    <t>Customer 357</t>
  </si>
  <si>
    <t>ORD-0358</t>
  </si>
  <si>
    <t>Customer 358</t>
  </si>
  <si>
    <t>ORD-0359</t>
  </si>
  <si>
    <t>Customer 359</t>
  </si>
  <si>
    <t>ORD-0360</t>
  </si>
  <si>
    <t>Customer 360</t>
  </si>
  <si>
    <t>ORD-0361</t>
  </si>
  <si>
    <t>Customer 361</t>
  </si>
  <si>
    <t>ORD-0362</t>
  </si>
  <si>
    <t>Customer 362</t>
  </si>
  <si>
    <t>ORD-0363</t>
  </si>
  <si>
    <t>Customer 363</t>
  </si>
  <si>
    <t>ORD-0364</t>
  </si>
  <si>
    <t>Customer 364</t>
  </si>
  <si>
    <t>ORD-0365</t>
  </si>
  <si>
    <t>Customer 365</t>
  </si>
  <si>
    <t>ORD-0366</t>
  </si>
  <si>
    <t>Customer 366</t>
  </si>
  <si>
    <t>ORD-0367</t>
  </si>
  <si>
    <t>Customer 367</t>
  </si>
  <si>
    <t>ORD-0368</t>
  </si>
  <si>
    <t>Customer 368</t>
  </si>
  <si>
    <t>ORD-0369</t>
  </si>
  <si>
    <t>Customer 369</t>
  </si>
  <si>
    <t>ORD-0370</t>
  </si>
  <si>
    <t>Customer 370</t>
  </si>
  <si>
    <t>ORD-0371</t>
  </si>
  <si>
    <t>Customer 371</t>
  </si>
  <si>
    <t>ORD-0372</t>
  </si>
  <si>
    <t>Customer 372</t>
  </si>
  <si>
    <t>ORD-0373</t>
  </si>
  <si>
    <t>Customer 373</t>
  </si>
  <si>
    <t>ORD-0374</t>
  </si>
  <si>
    <t>Customer 374</t>
  </si>
  <si>
    <t>ORD-0375</t>
  </si>
  <si>
    <t>Customer 375</t>
  </si>
  <si>
    <t>ORD-0376</t>
  </si>
  <si>
    <t>Customer 376</t>
  </si>
  <si>
    <t>ORD-0377</t>
  </si>
  <si>
    <t>Customer 377</t>
  </si>
  <si>
    <t>ORD-0378</t>
  </si>
  <si>
    <t>Customer 378</t>
  </si>
  <si>
    <t>ORD-0379</t>
  </si>
  <si>
    <t>Customer 379</t>
  </si>
  <si>
    <t>ORD-0380</t>
  </si>
  <si>
    <t>Customer 380</t>
  </si>
  <si>
    <t>ORD-0381</t>
  </si>
  <si>
    <t>Customer 381</t>
  </si>
  <si>
    <t>ORD-0382</t>
  </si>
  <si>
    <t>Customer 382</t>
  </si>
  <si>
    <t>ORD-0383</t>
  </si>
  <si>
    <t>Customer 383</t>
  </si>
  <si>
    <t>ORD-0384</t>
  </si>
  <si>
    <t>Customer 384</t>
  </si>
  <si>
    <t>ORD-0385</t>
  </si>
  <si>
    <t>Customer 385</t>
  </si>
  <si>
    <t>ORD-0386</t>
  </si>
  <si>
    <t>Customer 386</t>
  </si>
  <si>
    <t>ORD-0387</t>
  </si>
  <si>
    <t>Customer 387</t>
  </si>
  <si>
    <t>ORD-0388</t>
  </si>
  <si>
    <t>Customer 388</t>
  </si>
  <si>
    <t>ORD-0389</t>
  </si>
  <si>
    <t>Customer 389</t>
  </si>
  <si>
    <t>ORD-0390</t>
  </si>
  <si>
    <t>Customer 390</t>
  </si>
  <si>
    <t>ORD-0391</t>
  </si>
  <si>
    <t>Customer 391</t>
  </si>
  <si>
    <t>ORD-0392</t>
  </si>
  <si>
    <t>Customer 392</t>
  </si>
  <si>
    <t>ORD-0393</t>
  </si>
  <si>
    <t>Customer 393</t>
  </si>
  <si>
    <t>ORD-0394</t>
  </si>
  <si>
    <t>Customer 394</t>
  </si>
  <si>
    <t>ORD-0395</t>
  </si>
  <si>
    <t>Customer 395</t>
  </si>
  <si>
    <t>ORD-0396</t>
  </si>
  <si>
    <t>Customer 396</t>
  </si>
  <si>
    <t>ORD-0397</t>
  </si>
  <si>
    <t>Customer 397</t>
  </si>
  <si>
    <t>ORD-0398</t>
  </si>
  <si>
    <t>Customer 398</t>
  </si>
  <si>
    <t>ORD-0399</t>
  </si>
  <si>
    <t>Customer 399</t>
  </si>
  <si>
    <t>ORD-0400</t>
  </si>
  <si>
    <t>Customer 400</t>
  </si>
  <si>
    <t>ORD-0401</t>
  </si>
  <si>
    <t>Customer 401</t>
  </si>
  <si>
    <t>ORD-0402</t>
  </si>
  <si>
    <t>Customer 402</t>
  </si>
  <si>
    <t>ORD-0403</t>
  </si>
  <si>
    <t>Customer 403</t>
  </si>
  <si>
    <t>ORD-0404</t>
  </si>
  <si>
    <t>Customer 404</t>
  </si>
  <si>
    <t>ORD-0405</t>
  </si>
  <si>
    <t>Customer 405</t>
  </si>
  <si>
    <t>ORD-0406</t>
  </si>
  <si>
    <t>Customer 406</t>
  </si>
  <si>
    <t>ORD-0407</t>
  </si>
  <si>
    <t>Customer 407</t>
  </si>
  <si>
    <t>ORD-0408</t>
  </si>
  <si>
    <t>Customer 408</t>
  </si>
  <si>
    <t>ORD-0409</t>
  </si>
  <si>
    <t>Customer 409</t>
  </si>
  <si>
    <t>ORD-0410</t>
  </si>
  <si>
    <t>Customer 410</t>
  </si>
  <si>
    <t>ORD-0411</t>
  </si>
  <si>
    <t>Customer 411</t>
  </si>
  <si>
    <t>ORD-0412</t>
  </si>
  <si>
    <t>Customer 412</t>
  </si>
  <si>
    <t>ORD-0413</t>
  </si>
  <si>
    <t>Customer 413</t>
  </si>
  <si>
    <t>ORD-0414</t>
  </si>
  <si>
    <t>Customer 414</t>
  </si>
  <si>
    <t>ORD-0415</t>
  </si>
  <si>
    <t>Customer 415</t>
  </si>
  <si>
    <t>ORD-0416</t>
  </si>
  <si>
    <t>Customer 416</t>
  </si>
  <si>
    <t>ORD-0417</t>
  </si>
  <si>
    <t>Customer 417</t>
  </si>
  <si>
    <t>ORD-0418</t>
  </si>
  <si>
    <t>Customer 418</t>
  </si>
  <si>
    <t>ORD-0419</t>
  </si>
  <si>
    <t>Customer 419</t>
  </si>
  <si>
    <t>ORD-0420</t>
  </si>
  <si>
    <t>Customer 420</t>
  </si>
  <si>
    <t>ORD-0421</t>
  </si>
  <si>
    <t>Customer 421</t>
  </si>
  <si>
    <t>ORD-0422</t>
  </si>
  <si>
    <t>Customer 422</t>
  </si>
  <si>
    <t>ORD-0423</t>
  </si>
  <si>
    <t>Customer 423</t>
  </si>
  <si>
    <t>ORD-0424</t>
  </si>
  <si>
    <t>Customer 424</t>
  </si>
  <si>
    <t>ORD-0425</t>
  </si>
  <si>
    <t>Customer 425</t>
  </si>
  <si>
    <t>ORD-0426</t>
  </si>
  <si>
    <t>Customer 426</t>
  </si>
  <si>
    <t>ORD-0427</t>
  </si>
  <si>
    <t>Customer 427</t>
  </si>
  <si>
    <t>ORD-0428</t>
  </si>
  <si>
    <t>Customer 428</t>
  </si>
  <si>
    <t>ORD-0429</t>
  </si>
  <si>
    <t>Customer 429</t>
  </si>
  <si>
    <t>ORD-0430</t>
  </si>
  <si>
    <t>Customer 430</t>
  </si>
  <si>
    <t>ORD-0431</t>
  </si>
  <si>
    <t>Customer 431</t>
  </si>
  <si>
    <t>ORD-0432</t>
  </si>
  <si>
    <t>Customer 432</t>
  </si>
  <si>
    <t>ORD-0433</t>
  </si>
  <si>
    <t>Customer 433</t>
  </si>
  <si>
    <t>ORD-0434</t>
  </si>
  <si>
    <t>Customer 434</t>
  </si>
  <si>
    <t>ORD-0435</t>
  </si>
  <si>
    <t>Customer 435</t>
  </si>
  <si>
    <t>ORD-0436</t>
  </si>
  <si>
    <t>Customer 436</t>
  </si>
  <si>
    <t>ORD-0437</t>
  </si>
  <si>
    <t>Customer 437</t>
  </si>
  <si>
    <t>ORD-0438</t>
  </si>
  <si>
    <t>Customer 438</t>
  </si>
  <si>
    <t>ORD-0439</t>
  </si>
  <si>
    <t>Customer 439</t>
  </si>
  <si>
    <t>ORD-0440</t>
  </si>
  <si>
    <t>Customer 440</t>
  </si>
  <si>
    <t>ORD-0441</t>
  </si>
  <si>
    <t>Customer 441</t>
  </si>
  <si>
    <t>ORD-0442</t>
  </si>
  <si>
    <t>Customer 442</t>
  </si>
  <si>
    <t>ORD-0443</t>
  </si>
  <si>
    <t>Customer 443</t>
  </si>
  <si>
    <t>ORD-0444</t>
  </si>
  <si>
    <t>Customer 444</t>
  </si>
  <si>
    <t>ORD-0445</t>
  </si>
  <si>
    <t>Customer 445</t>
  </si>
  <si>
    <t>ORD-0446</t>
  </si>
  <si>
    <t>Customer 446</t>
  </si>
  <si>
    <t>ORD-0447</t>
  </si>
  <si>
    <t>Customer 447</t>
  </si>
  <si>
    <t>ORD-0448</t>
  </si>
  <si>
    <t>Customer 448</t>
  </si>
  <si>
    <t>ORD-0449</t>
  </si>
  <si>
    <t>Customer 449</t>
  </si>
  <si>
    <t>ORD-0450</t>
  </si>
  <si>
    <t>Customer 450</t>
  </si>
  <si>
    <t>ORD-0451</t>
  </si>
  <si>
    <t>Customer 451</t>
  </si>
  <si>
    <t>ORD-0452</t>
  </si>
  <si>
    <t>Customer 452</t>
  </si>
  <si>
    <t>ORD-0453</t>
  </si>
  <si>
    <t>Customer 453</t>
  </si>
  <si>
    <t>ORD-0454</t>
  </si>
  <si>
    <t>Customer 454</t>
  </si>
  <si>
    <t>ORD-0455</t>
  </si>
  <si>
    <t>Customer 455</t>
  </si>
  <si>
    <t>ORD-0456</t>
  </si>
  <si>
    <t>Customer 456</t>
  </si>
  <si>
    <t>ORD-0457</t>
  </si>
  <si>
    <t>Customer 457</t>
  </si>
  <si>
    <t>ORD-0458</t>
  </si>
  <si>
    <t>Customer 458</t>
  </si>
  <si>
    <t>ORD-0459</t>
  </si>
  <si>
    <t>Customer 459</t>
  </si>
  <si>
    <t>ORD-0460</t>
  </si>
  <si>
    <t>Customer 460</t>
  </si>
  <si>
    <t>ORD-0461</t>
  </si>
  <si>
    <t>Customer 461</t>
  </si>
  <si>
    <t>ORD-0462</t>
  </si>
  <si>
    <t>Customer 462</t>
  </si>
  <si>
    <t>ORD-0463</t>
  </si>
  <si>
    <t>Customer 463</t>
  </si>
  <si>
    <t>ORD-0464</t>
  </si>
  <si>
    <t>Customer 464</t>
  </si>
  <si>
    <t>ORD-0465</t>
  </si>
  <si>
    <t>Customer 465</t>
  </si>
  <si>
    <t>ORD-0466</t>
  </si>
  <si>
    <t>Customer 466</t>
  </si>
  <si>
    <t>ORD-0467</t>
  </si>
  <si>
    <t>Customer 467</t>
  </si>
  <si>
    <t>ORD-0468</t>
  </si>
  <si>
    <t>Customer 468</t>
  </si>
  <si>
    <t>ORD-0469</t>
  </si>
  <si>
    <t>Customer 469</t>
  </si>
  <si>
    <t>ORD-0470</t>
  </si>
  <si>
    <t>Customer 470</t>
  </si>
  <si>
    <t>ORD-0471</t>
  </si>
  <si>
    <t>Customer 471</t>
  </si>
  <si>
    <t>ORD-0472</t>
  </si>
  <si>
    <t>Customer 472</t>
  </si>
  <si>
    <t>ORD-0473</t>
  </si>
  <si>
    <t>Customer 473</t>
  </si>
  <si>
    <t>ORD-0474</t>
  </si>
  <si>
    <t>Customer 474</t>
  </si>
  <si>
    <t>ORD-0475</t>
  </si>
  <si>
    <t>Customer 475</t>
  </si>
  <si>
    <t>ORD-0476</t>
  </si>
  <si>
    <t>Customer 476</t>
  </si>
  <si>
    <t>ORD-0477</t>
  </si>
  <si>
    <t>Customer 477</t>
  </si>
  <si>
    <t>ORD-0478</t>
  </si>
  <si>
    <t>Customer 478</t>
  </si>
  <si>
    <t>ORD-0479</t>
  </si>
  <si>
    <t>Customer 479</t>
  </si>
  <si>
    <t>ORD-0480</t>
  </si>
  <si>
    <t>Customer 480</t>
  </si>
  <si>
    <t>ORD-0481</t>
  </si>
  <si>
    <t>Customer 481</t>
  </si>
  <si>
    <t>ORD-0482</t>
  </si>
  <si>
    <t>Customer 482</t>
  </si>
  <si>
    <t>ORD-0483</t>
  </si>
  <si>
    <t>Customer 483</t>
  </si>
  <si>
    <t>ORD-0484</t>
  </si>
  <si>
    <t>Customer 484</t>
  </si>
  <si>
    <t>ORD-0485</t>
  </si>
  <si>
    <t>Customer 485</t>
  </si>
  <si>
    <t>ORD-0486</t>
  </si>
  <si>
    <t>Customer 486</t>
  </si>
  <si>
    <t>ORD-0487</t>
  </si>
  <si>
    <t>Customer 487</t>
  </si>
  <si>
    <t>ORD-0488</t>
  </si>
  <si>
    <t>Customer 488</t>
  </si>
  <si>
    <t>ORD-0489</t>
  </si>
  <si>
    <t>Customer 489</t>
  </si>
  <si>
    <t>ORD-0490</t>
  </si>
  <si>
    <t>Customer 490</t>
  </si>
  <si>
    <t>ORD-0491</t>
  </si>
  <si>
    <t>Customer 491</t>
  </si>
  <si>
    <t>ORD-0492</t>
  </si>
  <si>
    <t>Customer 492</t>
  </si>
  <si>
    <t>ORD-0493</t>
  </si>
  <si>
    <t>Customer 493</t>
  </si>
  <si>
    <t>ORD-0494</t>
  </si>
  <si>
    <t>Customer 494</t>
  </si>
  <si>
    <t>ORD-0495</t>
  </si>
  <si>
    <t>Customer 495</t>
  </si>
  <si>
    <t>ORD-0496</t>
  </si>
  <si>
    <t>Customer 496</t>
  </si>
  <si>
    <t>ORD-0497</t>
  </si>
  <si>
    <t>Customer 497</t>
  </si>
  <si>
    <t>ORD-0498</t>
  </si>
  <si>
    <t>Customer 498</t>
  </si>
  <si>
    <t>ORD-0499</t>
  </si>
  <si>
    <t>Customer 499</t>
  </si>
  <si>
    <t>Unit Price</t>
  </si>
  <si>
    <t>Row Labels</t>
  </si>
  <si>
    <t>Grand Total</t>
  </si>
  <si>
    <t>Count of Order ID</t>
  </si>
  <si>
    <t>Sum of Quantity</t>
  </si>
  <si>
    <t>Sum of Sales</t>
  </si>
  <si>
    <t>Sum of Profit</t>
  </si>
  <si>
    <t>Jan</t>
  </si>
  <si>
    <t>Feb</t>
  </si>
  <si>
    <t>Mar</t>
  </si>
  <si>
    <t>Apr</t>
  </si>
  <si>
    <t>May</t>
  </si>
  <si>
    <t>Jun</t>
  </si>
  <si>
    <t>Jul</t>
  </si>
  <si>
    <t>Aug</t>
  </si>
  <si>
    <t>Sep</t>
  </si>
  <si>
    <t>Oct</t>
  </si>
  <si>
    <t>Nov</t>
  </si>
  <si>
    <t>Dec</t>
  </si>
  <si>
    <t>Order ID</t>
  </si>
  <si>
    <t>SALES PERFORMANCE DASHBOARD</t>
  </si>
  <si>
    <t xml:space="preserve">TOTAL SALES </t>
  </si>
  <si>
    <t xml:space="preserve">TOTAL PROFIT </t>
  </si>
  <si>
    <t>TOTAL ORDERS</t>
  </si>
  <si>
    <t xml:space="preserve">TOTAL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</si>
</sst>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2"/>
      <color theme="1"/>
      <name val="Calibri"/>
      <family val="2"/>
      <scheme val="minor"/>
    </font>
    <font>
      <sz val="16"/>
      <color theme="1"/>
      <name val="Calibri"/>
      <family val="2"/>
      <scheme val="minor"/>
    </font>
    <font>
      <b/>
      <sz val="16"/>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8"/>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1" xfId="0" applyFill="1" applyBorder="1"/>
    <xf numFmtId="14" fontId="0" fillId="0" borderId="1" xfId="0" applyNumberFormat="1" applyBorder="1"/>
    <xf numFmtId="0" fontId="0" fillId="0" borderId="1" xfId="0" applyBorder="1"/>
    <xf numFmtId="14" fontId="0" fillId="2" borderId="1" xfId="0" applyNumberFormat="1" applyFill="1" applyBorder="1"/>
    <xf numFmtId="0" fontId="0" fillId="2" borderId="0" xfId="0" applyFill="1"/>
    <xf numFmtId="0" fontId="0" fillId="0" borderId="0" xfId="0" pivotButton="1"/>
    <xf numFmtId="0" fontId="0" fillId="0" borderId="0" xfId="0" applyAlignment="1">
      <alignment horizontal="left"/>
    </xf>
    <xf numFmtId="0" fontId="2" fillId="0" borderId="0" xfId="0" applyFont="1"/>
    <xf numFmtId="0" fontId="5" fillId="3" borderId="2" xfId="0" applyFont="1" applyFill="1" applyBorder="1"/>
    <xf numFmtId="0" fontId="3" fillId="3" borderId="2" xfId="0" applyFont="1" applyFill="1" applyBorder="1" applyAlignment="1">
      <alignment wrapText="1"/>
    </xf>
    <xf numFmtId="0" fontId="5" fillId="3" borderId="0" xfId="0" applyFont="1" applyFill="1"/>
    <xf numFmtId="0" fontId="4" fillId="3" borderId="0" xfId="0" applyFont="1" applyFill="1"/>
    <xf numFmtId="0" fontId="4" fillId="3" borderId="2" xfId="0" applyFont="1" applyFill="1" applyBorder="1"/>
    <xf numFmtId="0" fontId="1" fillId="3" borderId="2" xfId="0" applyFont="1" applyFill="1" applyBorder="1"/>
  </cellXfs>
  <cellStyles count="1">
    <cellStyle name="Normal" xfId="0" builtinId="0"/>
  </cellStyles>
  <dxfs count="14">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Dashboard.xlsx]Monthly 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2305769</c:v>
                </c:pt>
                <c:pt idx="1">
                  <c:v>3568285.5</c:v>
                </c:pt>
                <c:pt idx="2">
                  <c:v>3101413</c:v>
                </c:pt>
                <c:pt idx="3">
                  <c:v>2957757.5</c:v>
                </c:pt>
                <c:pt idx="4">
                  <c:v>3692279</c:v>
                </c:pt>
                <c:pt idx="5">
                  <c:v>3884327</c:v>
                </c:pt>
                <c:pt idx="6">
                  <c:v>3570854.5</c:v>
                </c:pt>
                <c:pt idx="7">
                  <c:v>3817878</c:v>
                </c:pt>
                <c:pt idx="8">
                  <c:v>4149001.5</c:v>
                </c:pt>
                <c:pt idx="9">
                  <c:v>2760577</c:v>
                </c:pt>
                <c:pt idx="10">
                  <c:v>2073147</c:v>
                </c:pt>
                <c:pt idx="11">
                  <c:v>5675300.5</c:v>
                </c:pt>
              </c:numCache>
            </c:numRef>
          </c:val>
          <c:smooth val="0"/>
          <c:extLst>
            <c:ext xmlns:c16="http://schemas.microsoft.com/office/drawing/2014/chart" uri="{C3380CC4-5D6E-409C-BE32-E72D297353CC}">
              <c16:uniqueId val="{00000000-DDFB-4796-924C-1AA2C0DFE7C2}"/>
            </c:ext>
          </c:extLst>
        </c:ser>
        <c:dLbls>
          <c:showLegendKey val="0"/>
          <c:showVal val="0"/>
          <c:showCatName val="0"/>
          <c:showSerName val="0"/>
          <c:showPercent val="0"/>
          <c:showBubbleSize val="0"/>
        </c:dLbls>
        <c:marker val="1"/>
        <c:smooth val="0"/>
        <c:axId val="538221424"/>
        <c:axId val="538222384"/>
      </c:lineChart>
      <c:catAx>
        <c:axId val="5382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222384"/>
        <c:crosses val="autoZero"/>
        <c:auto val="1"/>
        <c:lblAlgn val="ctr"/>
        <c:lblOffset val="100"/>
        <c:noMultiLvlLbl val="0"/>
      </c:catAx>
      <c:valAx>
        <c:axId val="53822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22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Dashboard.xlsx]Region Sales!PivotTable3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Sales'!$B$3</c:f>
              <c:strCache>
                <c:ptCount val="1"/>
                <c:pt idx="0">
                  <c:v>Total</c:v>
                </c:pt>
              </c:strCache>
            </c:strRef>
          </c:tx>
          <c:spPr>
            <a:solidFill>
              <a:schemeClr val="accent1"/>
            </a:solidFill>
            <a:ln>
              <a:noFill/>
            </a:ln>
            <a:effectLst/>
          </c:spPr>
          <c:invertIfNegative val="0"/>
          <c:cat>
            <c:strRef>
              <c:f>'Region Sales'!$A$4:$A$8</c:f>
              <c:strCache>
                <c:ptCount val="4"/>
                <c:pt idx="0">
                  <c:v>East</c:v>
                </c:pt>
                <c:pt idx="1">
                  <c:v>North</c:v>
                </c:pt>
                <c:pt idx="2">
                  <c:v>South</c:v>
                </c:pt>
                <c:pt idx="3">
                  <c:v>West</c:v>
                </c:pt>
              </c:strCache>
            </c:strRef>
          </c:cat>
          <c:val>
            <c:numRef>
              <c:f>'Region Sales'!$B$4:$B$8</c:f>
              <c:numCache>
                <c:formatCode>General</c:formatCode>
                <c:ptCount val="4"/>
                <c:pt idx="0">
                  <c:v>9468324</c:v>
                </c:pt>
                <c:pt idx="1">
                  <c:v>9112882</c:v>
                </c:pt>
                <c:pt idx="2">
                  <c:v>11800020</c:v>
                </c:pt>
                <c:pt idx="3">
                  <c:v>11175363.5</c:v>
                </c:pt>
              </c:numCache>
            </c:numRef>
          </c:val>
          <c:extLst>
            <c:ext xmlns:c16="http://schemas.microsoft.com/office/drawing/2014/chart" uri="{C3380CC4-5D6E-409C-BE32-E72D297353CC}">
              <c16:uniqueId val="{00000000-4598-4342-99CA-A4F48930EBD6}"/>
            </c:ext>
          </c:extLst>
        </c:ser>
        <c:dLbls>
          <c:showLegendKey val="0"/>
          <c:showVal val="0"/>
          <c:showCatName val="0"/>
          <c:showSerName val="0"/>
          <c:showPercent val="0"/>
          <c:showBubbleSize val="0"/>
        </c:dLbls>
        <c:gapWidth val="219"/>
        <c:overlap val="-27"/>
        <c:axId val="94903440"/>
        <c:axId val="94922640"/>
      </c:barChart>
      <c:catAx>
        <c:axId val="949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22640"/>
        <c:crosses val="autoZero"/>
        <c:auto val="1"/>
        <c:lblAlgn val="ctr"/>
        <c:lblOffset val="100"/>
        <c:noMultiLvlLbl val="0"/>
      </c:catAx>
      <c:valAx>
        <c:axId val="9492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Dashboard.xlsx]Category Performance!PivotTable4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strRef>
              <c:f>'Category Performance'!$A$4:$A$8</c:f>
              <c:strCache>
                <c:ptCount val="4"/>
                <c:pt idx="0">
                  <c:v>Accessories</c:v>
                </c:pt>
                <c:pt idx="1">
                  <c:v>Electronics</c:v>
                </c:pt>
                <c:pt idx="2">
                  <c:v>Furniture</c:v>
                </c:pt>
                <c:pt idx="3">
                  <c:v>Office Supplies</c:v>
                </c:pt>
              </c:strCache>
            </c:strRef>
          </c:cat>
          <c:val>
            <c:numRef>
              <c:f>'Category Performance'!$B$4:$B$8</c:f>
              <c:numCache>
                <c:formatCode>General</c:formatCode>
                <c:ptCount val="4"/>
                <c:pt idx="0">
                  <c:v>12094883.5</c:v>
                </c:pt>
                <c:pt idx="1">
                  <c:v>10039359</c:v>
                </c:pt>
                <c:pt idx="2">
                  <c:v>9773498</c:v>
                </c:pt>
                <c:pt idx="3">
                  <c:v>9648849</c:v>
                </c:pt>
              </c:numCache>
            </c:numRef>
          </c:val>
          <c:extLst>
            <c:ext xmlns:c16="http://schemas.microsoft.com/office/drawing/2014/chart" uri="{C3380CC4-5D6E-409C-BE32-E72D297353CC}">
              <c16:uniqueId val="{00000000-233E-4830-8CE3-B110AE5439E2}"/>
            </c:ext>
          </c:extLst>
        </c:ser>
        <c:ser>
          <c:idx val="1"/>
          <c:order val="1"/>
          <c:tx>
            <c:strRef>
              <c:f>'Category Performance'!$C$3</c:f>
              <c:strCache>
                <c:ptCount val="1"/>
                <c:pt idx="0">
                  <c:v>Sum of Profit</c:v>
                </c:pt>
              </c:strCache>
            </c:strRef>
          </c:tx>
          <c:spPr>
            <a:solidFill>
              <a:schemeClr val="accent2"/>
            </a:solidFill>
            <a:ln>
              <a:noFill/>
            </a:ln>
            <a:effectLst/>
          </c:spPr>
          <c:invertIfNegative val="0"/>
          <c:cat>
            <c:strRef>
              <c:f>'Category Performance'!$A$4:$A$8</c:f>
              <c:strCache>
                <c:ptCount val="4"/>
                <c:pt idx="0">
                  <c:v>Accessories</c:v>
                </c:pt>
                <c:pt idx="1">
                  <c:v>Electronics</c:v>
                </c:pt>
                <c:pt idx="2">
                  <c:v>Furniture</c:v>
                </c:pt>
                <c:pt idx="3">
                  <c:v>Office Supplies</c:v>
                </c:pt>
              </c:strCache>
            </c:strRef>
          </c:cat>
          <c:val>
            <c:numRef>
              <c:f>'Category Performance'!$C$4:$C$8</c:f>
              <c:numCache>
                <c:formatCode>General</c:formatCode>
                <c:ptCount val="4"/>
                <c:pt idx="0">
                  <c:v>3711817.895</c:v>
                </c:pt>
                <c:pt idx="1">
                  <c:v>2961684.415</c:v>
                </c:pt>
                <c:pt idx="2">
                  <c:v>2980494.0150000001</c:v>
                </c:pt>
                <c:pt idx="3">
                  <c:v>2984547.9900000012</c:v>
                </c:pt>
              </c:numCache>
            </c:numRef>
          </c:val>
          <c:extLst>
            <c:ext xmlns:c16="http://schemas.microsoft.com/office/drawing/2014/chart" uri="{C3380CC4-5D6E-409C-BE32-E72D297353CC}">
              <c16:uniqueId val="{00000001-233E-4830-8CE3-B110AE5439E2}"/>
            </c:ext>
          </c:extLst>
        </c:ser>
        <c:dLbls>
          <c:showLegendKey val="0"/>
          <c:showVal val="0"/>
          <c:showCatName val="0"/>
          <c:showSerName val="0"/>
          <c:showPercent val="0"/>
          <c:showBubbleSize val="0"/>
        </c:dLbls>
        <c:gapWidth val="219"/>
        <c:overlap val="-27"/>
        <c:axId val="94926000"/>
        <c:axId val="94926480"/>
      </c:barChart>
      <c:catAx>
        <c:axId val="949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26480"/>
        <c:crosses val="autoZero"/>
        <c:auto val="1"/>
        <c:lblAlgn val="ctr"/>
        <c:lblOffset val="100"/>
        <c:noMultiLvlLbl val="0"/>
      </c:catAx>
      <c:valAx>
        <c:axId val="9492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2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Dashboard.xlsx]Product Sales!PivotTable5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Sales'!$B$3</c:f>
              <c:strCache>
                <c:ptCount val="1"/>
                <c:pt idx="0">
                  <c:v>Total</c:v>
                </c:pt>
              </c:strCache>
            </c:strRef>
          </c:tx>
          <c:spPr>
            <a:solidFill>
              <a:schemeClr val="accent1"/>
            </a:solidFill>
            <a:ln>
              <a:noFill/>
            </a:ln>
            <a:effectLst/>
          </c:spPr>
          <c:invertIfNegative val="0"/>
          <c:cat>
            <c:strRef>
              <c:f>'Product Sales'!$A$4:$A$14</c:f>
              <c:strCache>
                <c:ptCount val="10"/>
                <c:pt idx="0">
                  <c:v>Backpack</c:v>
                </c:pt>
                <c:pt idx="1">
                  <c:v>Desk</c:v>
                </c:pt>
                <c:pt idx="2">
                  <c:v>Headphones</c:v>
                </c:pt>
                <c:pt idx="3">
                  <c:v>Keyboard</c:v>
                </c:pt>
                <c:pt idx="4">
                  <c:v>Laptop</c:v>
                </c:pt>
                <c:pt idx="5">
                  <c:v>Monitor</c:v>
                </c:pt>
                <c:pt idx="6">
                  <c:v>Notebook</c:v>
                </c:pt>
                <c:pt idx="7">
                  <c:v>Office Chair</c:v>
                </c:pt>
                <c:pt idx="8">
                  <c:v>Printer</c:v>
                </c:pt>
                <c:pt idx="9">
                  <c:v>Smartphone</c:v>
                </c:pt>
              </c:strCache>
            </c:strRef>
          </c:cat>
          <c:val>
            <c:numRef>
              <c:f>'Product Sales'!$B$4:$B$14</c:f>
              <c:numCache>
                <c:formatCode>General</c:formatCode>
                <c:ptCount val="10"/>
                <c:pt idx="0">
                  <c:v>524376</c:v>
                </c:pt>
                <c:pt idx="1">
                  <c:v>3012000</c:v>
                </c:pt>
                <c:pt idx="2">
                  <c:v>1058670</c:v>
                </c:pt>
                <c:pt idx="3">
                  <c:v>533786</c:v>
                </c:pt>
                <c:pt idx="4">
                  <c:v>18625100</c:v>
                </c:pt>
                <c:pt idx="5">
                  <c:v>4560480</c:v>
                </c:pt>
                <c:pt idx="6">
                  <c:v>66002.5</c:v>
                </c:pt>
                <c:pt idx="7">
                  <c:v>3123000</c:v>
                </c:pt>
                <c:pt idx="8">
                  <c:v>2221575</c:v>
                </c:pt>
                <c:pt idx="9">
                  <c:v>7831600</c:v>
                </c:pt>
              </c:numCache>
            </c:numRef>
          </c:val>
          <c:extLst>
            <c:ext xmlns:c16="http://schemas.microsoft.com/office/drawing/2014/chart" uri="{C3380CC4-5D6E-409C-BE32-E72D297353CC}">
              <c16:uniqueId val="{00000000-711E-43BB-8B48-50BAF69073E9}"/>
            </c:ext>
          </c:extLst>
        </c:ser>
        <c:dLbls>
          <c:showLegendKey val="0"/>
          <c:showVal val="0"/>
          <c:showCatName val="0"/>
          <c:showSerName val="0"/>
          <c:showPercent val="0"/>
          <c:showBubbleSize val="0"/>
        </c:dLbls>
        <c:gapWidth val="219"/>
        <c:overlap val="-27"/>
        <c:axId val="38331104"/>
        <c:axId val="38332064"/>
      </c:barChart>
      <c:catAx>
        <c:axId val="383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32064"/>
        <c:crosses val="autoZero"/>
        <c:auto val="1"/>
        <c:lblAlgn val="ctr"/>
        <c:lblOffset val="100"/>
        <c:noMultiLvlLbl val="0"/>
      </c:catAx>
      <c:valAx>
        <c:axId val="3833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104775</xdr:colOff>
      <xdr:row>1</xdr:row>
      <xdr:rowOff>158750</xdr:rowOff>
    </xdr:from>
    <xdr:to>
      <xdr:col>5</xdr:col>
      <xdr:colOff>431800</xdr:colOff>
      <xdr:row>13</xdr:row>
      <xdr:rowOff>44450</xdr:rowOff>
    </xdr:to>
    <xdr:graphicFrame macro="">
      <xdr:nvGraphicFramePr>
        <xdr:cNvPr id="2" name="Chart 1">
          <a:extLst>
            <a:ext uri="{FF2B5EF4-FFF2-40B4-BE49-F238E27FC236}">
              <a16:creationId xmlns:a16="http://schemas.microsoft.com/office/drawing/2014/main" id="{1074C757-8EB6-B891-9BFC-61FEC8C53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130175</xdr:colOff>
      <xdr:row>2</xdr:row>
      <xdr:rowOff>31750</xdr:rowOff>
    </xdr:from>
    <xdr:to>
      <xdr:col>10</xdr:col>
      <xdr:colOff>101600</xdr:colOff>
      <xdr:row>13</xdr:row>
      <xdr:rowOff>88900</xdr:rowOff>
    </xdr:to>
    <xdr:graphicFrame macro="">
      <xdr:nvGraphicFramePr>
        <xdr:cNvPr id="3" name="Chart 1">
          <a:extLst>
            <a:ext uri="{FF2B5EF4-FFF2-40B4-BE49-F238E27FC236}">
              <a16:creationId xmlns:a16="http://schemas.microsoft.com/office/drawing/2014/main" id="{E527B933-6FBD-F2C5-AEC2-E38F5B452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187325</xdr:colOff>
      <xdr:row>2</xdr:row>
      <xdr:rowOff>6350</xdr:rowOff>
    </xdr:from>
    <xdr:to>
      <xdr:col>15</xdr:col>
      <xdr:colOff>25400</xdr:colOff>
      <xdr:row>13</xdr:row>
      <xdr:rowOff>82550</xdr:rowOff>
    </xdr:to>
    <xdr:graphicFrame macro="">
      <xdr:nvGraphicFramePr>
        <xdr:cNvPr id="4" name="Chart 1">
          <a:extLst>
            <a:ext uri="{FF2B5EF4-FFF2-40B4-BE49-F238E27FC236}">
              <a16:creationId xmlns:a16="http://schemas.microsoft.com/office/drawing/2014/main" id="{BB058CCC-0CC2-6E42-D5A6-573E9284F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98425</xdr:colOff>
      <xdr:row>14</xdr:row>
      <xdr:rowOff>12700</xdr:rowOff>
    </xdr:from>
    <xdr:to>
      <xdr:col>6</xdr:col>
      <xdr:colOff>31750</xdr:colOff>
      <xdr:row>26</xdr:row>
      <xdr:rowOff>88900</xdr:rowOff>
    </xdr:to>
    <xdr:graphicFrame macro="">
      <xdr:nvGraphicFramePr>
        <xdr:cNvPr id="5" name="Chart 1">
          <a:extLst>
            <a:ext uri="{FF2B5EF4-FFF2-40B4-BE49-F238E27FC236}">
              <a16:creationId xmlns:a16="http://schemas.microsoft.com/office/drawing/2014/main" id="{B7FB6663-64A8-53BE-928C-CFD194AA9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152400</xdr:colOff>
      <xdr:row>14</xdr:row>
      <xdr:rowOff>31751</xdr:rowOff>
    </xdr:from>
    <xdr:to>
      <xdr:col>9</xdr:col>
      <xdr:colOff>151050</xdr:colOff>
      <xdr:row>26</xdr:row>
      <xdr:rowOff>50801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6A12C7B-92A5-4190-DF3C-B2B5F35ADC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70550" y="3155951"/>
              <a:ext cx="182745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14</xdr:row>
      <xdr:rowOff>1</xdr:rowOff>
    </xdr:from>
    <xdr:to>
      <xdr:col>12</xdr:col>
      <xdr:colOff>608250</xdr:colOff>
      <xdr:row>25</xdr:row>
      <xdr:rowOff>177801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B3D2B3F-A31D-4779-A83A-DA3FC62C5B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56550" y="3124201"/>
              <a:ext cx="1827450" cy="220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88900</xdr:colOff>
      <xdr:row>14</xdr:row>
      <xdr:rowOff>12701</xdr:rowOff>
    </xdr:from>
    <xdr:to>
      <xdr:col>16</xdr:col>
      <xdr:colOff>469900</xdr:colOff>
      <xdr:row>26</xdr:row>
      <xdr:rowOff>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A71F8DE6-9AFA-49B9-9986-2B8FCB9E4CD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74250" y="3136901"/>
              <a:ext cx="2209800" cy="219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Nainvaya" refreshedDate="46293.818299074075" createdVersion="8" refreshedVersion="8" minRefreshableVersion="3" recordCount="499" xr:uid="{6882DB7A-B9E7-4658-8F2F-056068DB4A35}">
  <cacheSource type="worksheet">
    <worksheetSource name="Table1"/>
  </cacheSource>
  <cacheFields count="14">
    <cacheField name="Order ID" numFmtId="0">
      <sharedItems count="499">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haredItems>
    </cacheField>
    <cacheField name="Order Date" numFmtId="14">
      <sharedItems containsSemiMixedTypes="0" containsNonDate="0" containsDate="1" containsString="0" minDate="2025-01-01T00:00:00" maxDate="2025-12-29T00:00:00" count="261">
        <d v="2025-03-20T00:00:00"/>
        <d v="2025-07-14T00:00:00"/>
        <d v="2025-03-08T00:00:00"/>
        <d v="2025-02-10T00:00:00"/>
        <d v="2025-11-25T00:00:00"/>
        <d v="2025-11-13T00:00:00"/>
        <d v="2025-01-13T00:00:00"/>
        <d v="2025-06-27T00:00:00"/>
        <d v="2025-03-03T00:00:00"/>
        <d v="2025-07-20T00:00:00"/>
        <d v="2025-06-13T00:00:00"/>
        <d v="2025-10-14T00:00:00"/>
        <d v="2025-10-05T00:00:00"/>
        <d v="2025-08-06T00:00:00"/>
        <d v="2025-06-01T00:00:00"/>
        <d v="2025-07-06T00:00:00"/>
        <d v="2025-07-12T00:00:00"/>
        <d v="2025-11-07T00:00:00"/>
        <d v="2025-01-19T00:00:00"/>
        <d v="2025-06-09T00:00:00"/>
        <d v="2025-08-24T00:00:00"/>
        <d v="2025-01-15T00:00:00"/>
        <d v="2025-01-24T00:00:00"/>
        <d v="2025-11-27T00:00:00"/>
        <d v="2025-07-21T00:00:00"/>
        <d v="2025-12-21T00:00:00"/>
        <d v="2025-02-15T00:00:00"/>
        <d v="2025-08-10T00:00:00"/>
        <d v="2025-04-27T00:00:00"/>
        <d v="2025-11-03T00:00:00"/>
        <d v="2025-07-17T00:00:00"/>
        <d v="2025-01-20T00:00:00"/>
        <d v="2025-12-16T00:00:00"/>
        <d v="2025-08-27T00:00:00"/>
        <d v="2025-08-20T00:00:00"/>
        <d v="2025-12-24T00:00:00"/>
        <d v="2025-08-21T00:00:00"/>
        <d v="2025-08-17T00:00:00"/>
        <d v="2025-08-18T00:00:00"/>
        <d v="2025-01-23T00:00:00"/>
        <d v="2025-07-04T00:00:00"/>
        <d v="2025-11-20T00:00:00"/>
        <d v="2025-03-16T00:00:00"/>
        <d v="2025-02-19T00:00:00"/>
        <d v="2025-10-03T00:00:00"/>
        <d v="2025-04-13T00:00:00"/>
        <d v="2025-08-22T00:00:00"/>
        <d v="2025-04-26T00:00:00"/>
        <d v="2025-10-20T00:00:00"/>
        <d v="2025-07-26T00:00:00"/>
        <d v="2025-11-04T00:00:00"/>
        <d v="2025-02-27T00:00:00"/>
        <d v="2025-08-05T00:00:00"/>
        <d v="2025-04-09T00:00:00"/>
        <d v="2025-01-06T00:00:00"/>
        <d v="2025-01-04T00:00:00"/>
        <d v="2025-07-03T00:00:00"/>
        <d v="2025-11-06T00:00:00"/>
        <d v="2025-09-08T00:00:00"/>
        <d v="2025-05-28T00:00:00"/>
        <d v="2025-09-26T00:00:00"/>
        <d v="2025-07-05T00:00:00"/>
        <d v="2025-05-11T00:00:00"/>
        <d v="2025-01-07T00:00:00"/>
        <d v="2025-06-02T00:00:00"/>
        <d v="2025-07-07T00:00:00"/>
        <d v="2025-06-17T00:00:00"/>
        <d v="2025-05-12T00:00:00"/>
        <d v="2025-06-20T00:00:00"/>
        <d v="2025-08-02T00:00:00"/>
        <d v="2025-09-02T00:00:00"/>
        <d v="2025-09-20T00:00:00"/>
        <d v="2025-07-27T00:00:00"/>
        <d v="2025-11-23T00:00:00"/>
        <d v="2025-10-11T00:00:00"/>
        <d v="2025-09-24T00:00:00"/>
        <d v="2025-03-28T00:00:00"/>
        <d v="2025-06-23T00:00:00"/>
        <d v="2025-01-03T00:00:00"/>
        <d v="2025-01-10T00:00:00"/>
        <d v="2025-12-10T00:00:00"/>
        <d v="2025-05-18T00:00:00"/>
        <d v="2025-09-17T00:00:00"/>
        <d v="2025-06-22T00:00:00"/>
        <d v="2025-08-14T00:00:00"/>
        <d v="2025-10-09T00:00:00"/>
        <d v="2025-12-26T00:00:00"/>
        <d v="2025-09-07T00:00:00"/>
        <d v="2025-08-01T00:00:00"/>
        <d v="2025-12-20T00:00:00"/>
        <d v="2025-06-03T00:00:00"/>
        <d v="2025-09-21T00:00:00"/>
        <d v="2025-11-11T00:00:00"/>
        <d v="2025-11-15T00:00:00"/>
        <d v="2025-09-22T00:00:00"/>
        <d v="2025-02-03T00:00:00"/>
        <d v="2025-05-06T00:00:00"/>
        <d v="2025-11-24T00:00:00"/>
        <d v="2025-03-22T00:00:00"/>
        <d v="2025-02-18T00:00:00"/>
        <d v="2025-04-10T00:00:00"/>
        <d v="2025-01-12T00:00:00"/>
        <d v="2025-10-28T00:00:00"/>
        <d v="2025-12-02T00:00:00"/>
        <d v="2025-01-21T00:00:00"/>
        <d v="2025-04-18T00:00:00"/>
        <d v="2025-02-01T00:00:00"/>
        <d v="2025-04-16T00:00:00"/>
        <d v="2025-01-01T00:00:00"/>
        <d v="2025-06-25T00:00:00"/>
        <d v="2025-10-12T00:00:00"/>
        <d v="2025-11-10T00:00:00"/>
        <d v="2025-07-13T00:00:00"/>
        <d v="2025-05-05T00:00:00"/>
        <d v="2025-04-01T00:00:00"/>
        <d v="2025-10-18T00:00:00"/>
        <d v="2025-05-07T00:00:00"/>
        <d v="2025-07-18T00:00:00"/>
        <d v="2025-03-09T00:00:00"/>
        <d v="2025-12-22T00:00:00"/>
        <d v="2025-03-15T00:00:00"/>
        <d v="2025-02-25T00:00:00"/>
        <d v="2025-03-12T00:00:00"/>
        <d v="2025-03-11T00:00:00"/>
        <d v="2025-04-20T00:00:00"/>
        <d v="2025-12-12T00:00:00"/>
        <d v="2025-02-06T00:00:00"/>
        <d v="2025-08-28T00:00:00"/>
        <d v="2025-06-14T00:00:00"/>
        <d v="2025-04-15T00:00:00"/>
        <d v="2025-07-24T00:00:00"/>
        <d v="2025-10-25T00:00:00"/>
        <d v="2025-07-15T00:00:00"/>
        <d v="2025-03-02T00:00:00"/>
        <d v="2025-03-25T00:00:00"/>
        <d v="2025-05-17T00:00:00"/>
        <d v="2025-04-21T00:00:00"/>
        <d v="2025-02-16T00:00:00"/>
        <d v="2025-06-08T00:00:00"/>
        <d v="2025-06-19T00:00:00"/>
        <d v="2025-10-16T00:00:00"/>
        <d v="2025-10-13T00:00:00"/>
        <d v="2025-12-25T00:00:00"/>
        <d v="2025-08-19T00:00:00"/>
        <d v="2025-03-17T00:00:00"/>
        <d v="2025-08-23T00:00:00"/>
        <d v="2025-09-12T00:00:00"/>
        <d v="2025-07-23T00:00:00"/>
        <d v="2025-09-14T00:00:00"/>
        <d v="2025-05-26T00:00:00"/>
        <d v="2025-03-19T00:00:00"/>
        <d v="2025-12-04T00:00:00"/>
        <d v="2025-07-10T00:00:00"/>
        <d v="2025-02-09T00:00:00"/>
        <d v="2025-01-02T00:00:00"/>
        <d v="2025-02-23T00:00:00"/>
        <d v="2025-10-07T00:00:00"/>
        <d v="2025-07-28T00:00:00"/>
        <d v="2025-07-16T00:00:00"/>
        <d v="2025-07-02T00:00:00"/>
        <d v="2025-08-12T00:00:00"/>
        <d v="2025-05-01T00:00:00"/>
        <d v="2025-02-12T00:00:00"/>
        <d v="2025-03-04T00:00:00"/>
        <d v="2025-04-19T00:00:00"/>
        <d v="2025-04-28T00:00:00"/>
        <d v="2025-10-01T00:00:00"/>
        <d v="2025-08-16T00:00:00"/>
        <d v="2025-02-08T00:00:00"/>
        <d v="2025-07-11T00:00:00"/>
        <d v="2025-01-28T00:00:00"/>
        <d v="2025-08-15T00:00:00"/>
        <d v="2025-02-26T00:00:00"/>
        <d v="2025-12-18T00:00:00"/>
        <d v="2025-04-24T00:00:00"/>
        <d v="2025-12-03T00:00:00"/>
        <d v="2025-10-19T00:00:00"/>
        <d v="2025-12-05T00:00:00"/>
        <d v="2025-08-03T00:00:00"/>
        <d v="2025-10-17T00:00:00"/>
        <d v="2025-12-23T00:00:00"/>
        <d v="2025-07-01T00:00:00"/>
        <d v="2025-06-18T00:00:00"/>
        <d v="2025-08-08T00:00:00"/>
        <d v="2025-08-25T00:00:00"/>
        <d v="2025-05-10T00:00:00"/>
        <d v="2025-05-15T00:00:00"/>
        <d v="2025-07-19T00:00:00"/>
        <d v="2025-06-07T00:00:00"/>
        <d v="2025-09-19T00:00:00"/>
        <d v="2025-12-27T00:00:00"/>
        <d v="2025-10-21T00:00:00"/>
        <d v="2025-07-09T00:00:00"/>
        <d v="2025-05-02T00:00:00"/>
        <d v="2025-12-01T00:00:00"/>
        <d v="2025-06-12T00:00:00"/>
        <d v="2025-09-10T00:00:00"/>
        <d v="2025-03-13T00:00:00"/>
        <d v="2025-05-21T00:00:00"/>
        <d v="2025-11-21T00:00:00"/>
        <d v="2025-01-27T00:00:00"/>
        <d v="2025-06-16T00:00:00"/>
        <d v="2025-09-11T00:00:00"/>
        <d v="2025-09-15T00:00:00"/>
        <d v="2025-02-20T00:00:00"/>
        <d v="2025-12-14T00:00:00"/>
        <d v="2025-01-09T00:00:00"/>
        <d v="2025-01-22T00:00:00"/>
        <d v="2025-05-22T00:00:00"/>
        <d v="2025-04-23T00:00:00"/>
        <d v="2025-03-05T00:00:00"/>
        <d v="2025-02-14T00:00:00"/>
        <d v="2025-01-18T00:00:00"/>
        <d v="2025-05-23T00:00:00"/>
        <d v="2025-04-17T00:00:00"/>
        <d v="2025-04-07T00:00:00"/>
        <d v="2025-05-25T00:00:00"/>
        <d v="2025-11-09T00:00:00"/>
        <d v="2025-06-04T00:00:00"/>
        <d v="2025-12-11T00:00:00"/>
        <d v="2025-11-02T00:00:00"/>
        <d v="2025-06-05T00:00:00"/>
        <d v="2025-05-08T00:00:00"/>
        <d v="2025-03-07T00:00:00"/>
        <d v="2025-02-24T00:00:00"/>
        <d v="2025-10-06T00:00:00"/>
        <d v="2025-09-13T00:00:00"/>
        <d v="2025-10-10T00:00:00"/>
        <d v="2025-06-06T00:00:00"/>
        <d v="2025-12-17T00:00:00"/>
        <d v="2025-02-04T00:00:00"/>
        <d v="2025-04-03T00:00:00"/>
        <d v="2025-03-18T00:00:00"/>
        <d v="2025-05-27T00:00:00"/>
        <d v="2025-01-25T00:00:00"/>
        <d v="2025-10-24T00:00:00"/>
        <d v="2025-10-02T00:00:00"/>
        <d v="2025-12-09T00:00:00"/>
        <d v="2025-04-04T00:00:00"/>
        <d v="2025-07-08T00:00:00"/>
        <d v="2025-04-22T00:00:00"/>
        <d v="2025-02-13T00:00:00"/>
        <d v="2025-11-19T00:00:00"/>
        <d v="2025-06-28T00:00:00"/>
        <d v="2025-11-01T00:00:00"/>
        <d v="2025-06-26T00:00:00"/>
        <d v="2025-09-16T00:00:00"/>
        <d v="2025-05-13T00:00:00"/>
        <d v="2025-03-23T00:00:00"/>
        <d v="2025-12-28T00:00:00"/>
        <d v="2025-01-26T00:00:00"/>
        <d v="2025-09-01T00:00:00"/>
        <d v="2025-08-09T00:00:00"/>
        <d v="2025-12-15T00:00:00"/>
        <d v="2025-03-27T00:00:00"/>
        <d v="2025-04-02T00:00:00"/>
        <d v="2025-05-14T00:00:00"/>
        <d v="2025-06-11T00:00:00"/>
        <d v="2025-09-06T00:00:00"/>
        <d v="2025-10-23T00:00:00"/>
        <d v="2025-12-07T00:00:00"/>
      </sharedItems>
      <fieldGroup par="13"/>
    </cacheField>
    <cacheField name="Customer" numFmtId="0">
      <sharedItems/>
    </cacheField>
    <cacheField name="Region" numFmtId="0">
      <sharedItems count="4">
        <s v="South"/>
        <s v="North"/>
        <s v="West"/>
        <s v="East"/>
      </sharedItems>
    </cacheField>
    <cacheField name="Category" numFmtId="0">
      <sharedItems count="4">
        <s v="Accessories"/>
        <s v="Office Supplies"/>
        <s v="Electronics"/>
        <s v="Furniture"/>
      </sharedItems>
    </cacheField>
    <cacheField name="Product" numFmtId="0">
      <sharedItems count="10">
        <s v="Laptop"/>
        <s v="Backpack"/>
        <s v="Keyboard"/>
        <s v="Monitor"/>
        <s v="Desk"/>
        <s v="Notebook"/>
        <s v="Office Chair"/>
        <s v="Headphones"/>
        <s v="Smartphone"/>
        <s v="Printer"/>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50" maxValue="65000"/>
    </cacheField>
    <cacheField name="Discount" numFmtId="0">
      <sharedItems containsSemiMixedTypes="0" containsString="0" containsNumber="1" minValue="0" maxValue="0.15"/>
    </cacheField>
    <cacheField name="Sales" numFmtId="0">
      <sharedItems containsSemiMixedTypes="0" containsString="0" containsNumber="1" minValue="212.5" maxValue="650000"/>
    </cacheField>
    <cacheField name="Cost" numFmtId="0">
      <sharedItems containsSemiMixedTypes="0" containsString="0" containsNumber="1" minValue="163.30000000000001" maxValue="472420"/>
    </cacheField>
    <cacheField name="Profit" numFmtId="0">
      <sharedItems containsSemiMixedTypes="0" containsString="0" containsNumber="1" minValue="48.875" maxValue="248430"/>
    </cacheField>
    <cacheField name="Days (Order Date)" numFmtId="0" databaseField="0">
      <fieldGroup base="1">
        <rangePr groupBy="days" startDate="2025-01-01T00:00:00" endDate="2025-12-29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5"/>
        </groupItems>
      </fieldGroup>
    </cacheField>
    <cacheField name="Months (Order Date)" numFmtId="0" databaseField="0">
      <fieldGroup base="1">
        <rangePr groupBy="months" startDate="2025-01-01T00:00:00" endDate="2025-12-29T00:00:00"/>
        <groupItems count="14">
          <s v="&lt;01-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704571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x v="0"/>
    <s v="Customer 001"/>
    <x v="0"/>
    <x v="0"/>
    <x v="0"/>
    <n v="5"/>
    <n v="65000"/>
    <n v="0.08"/>
    <n v="299000"/>
    <n v="230230"/>
    <n v="68770"/>
  </r>
  <r>
    <x v="1"/>
    <x v="1"/>
    <s v="Customer 002"/>
    <x v="1"/>
    <x v="1"/>
    <x v="1"/>
    <n v="8"/>
    <n v="1800"/>
    <n v="0.05"/>
    <n v="13680"/>
    <n v="9439.2000000000007"/>
    <n v="4240.7999999999993"/>
  </r>
  <r>
    <x v="2"/>
    <x v="2"/>
    <s v="Customer 003"/>
    <x v="2"/>
    <x v="2"/>
    <x v="2"/>
    <n v="10"/>
    <n v="2200"/>
    <n v="0.05"/>
    <n v="20900"/>
    <n v="15466"/>
    <n v="5434"/>
  </r>
  <r>
    <x v="3"/>
    <x v="3"/>
    <s v="Customer 004"/>
    <x v="0"/>
    <x v="3"/>
    <x v="3"/>
    <n v="1"/>
    <n v="18000"/>
    <n v="0.15"/>
    <n v="15300"/>
    <n v="12240"/>
    <n v="3060"/>
  </r>
  <r>
    <x v="4"/>
    <x v="4"/>
    <s v="Customer 005"/>
    <x v="3"/>
    <x v="1"/>
    <x v="4"/>
    <n v="3"/>
    <n v="15000"/>
    <n v="0.1"/>
    <n v="40500"/>
    <n v="28755"/>
    <n v="11745"/>
  </r>
  <r>
    <x v="5"/>
    <x v="4"/>
    <s v="Customer 006"/>
    <x v="2"/>
    <x v="1"/>
    <x v="2"/>
    <n v="3"/>
    <n v="2200"/>
    <n v="0"/>
    <n v="6600"/>
    <n v="4488"/>
    <n v="2112"/>
  </r>
  <r>
    <x v="6"/>
    <x v="5"/>
    <s v="Customer 007"/>
    <x v="2"/>
    <x v="2"/>
    <x v="1"/>
    <n v="1"/>
    <n v="1800"/>
    <n v="0"/>
    <n v="1800"/>
    <n v="1386"/>
    <n v="414"/>
  </r>
  <r>
    <x v="7"/>
    <x v="6"/>
    <s v="Customer 008"/>
    <x v="3"/>
    <x v="2"/>
    <x v="5"/>
    <n v="2"/>
    <n v="250"/>
    <n v="0.05"/>
    <n v="475"/>
    <n v="370.5"/>
    <n v="104.5"/>
  </r>
  <r>
    <x v="8"/>
    <x v="7"/>
    <s v="Customer 009"/>
    <x v="2"/>
    <x v="1"/>
    <x v="1"/>
    <n v="6"/>
    <n v="1800"/>
    <n v="0.02"/>
    <n v="10584"/>
    <n v="8149.68"/>
    <n v="2434.3199999999997"/>
  </r>
  <r>
    <x v="9"/>
    <x v="8"/>
    <s v="Customer 010"/>
    <x v="3"/>
    <x v="1"/>
    <x v="6"/>
    <n v="4"/>
    <n v="12500"/>
    <n v="0"/>
    <n v="50000"/>
    <n v="33500"/>
    <n v="16500"/>
  </r>
  <r>
    <x v="10"/>
    <x v="9"/>
    <s v="Customer 011"/>
    <x v="2"/>
    <x v="3"/>
    <x v="3"/>
    <n v="6"/>
    <n v="18000"/>
    <n v="0.05"/>
    <n v="102600"/>
    <n v="72846"/>
    <n v="29754"/>
  </r>
  <r>
    <x v="11"/>
    <x v="10"/>
    <s v="Customer 012"/>
    <x v="0"/>
    <x v="3"/>
    <x v="0"/>
    <n v="6"/>
    <n v="65000"/>
    <n v="0.15"/>
    <n v="331500"/>
    <n v="255255"/>
    <n v="76245"/>
  </r>
  <r>
    <x v="12"/>
    <x v="11"/>
    <s v="Customer 013"/>
    <x v="3"/>
    <x v="2"/>
    <x v="7"/>
    <n v="5"/>
    <n v="4500"/>
    <n v="0.08"/>
    <n v="20700"/>
    <n v="15318"/>
    <n v="5382"/>
  </r>
  <r>
    <x v="13"/>
    <x v="12"/>
    <s v="Customer 014"/>
    <x v="0"/>
    <x v="2"/>
    <x v="1"/>
    <n v="1"/>
    <n v="1800"/>
    <n v="0.15"/>
    <n v="1530"/>
    <n v="1162.8"/>
    <n v="367.20000000000005"/>
  </r>
  <r>
    <x v="14"/>
    <x v="13"/>
    <s v="Customer 015"/>
    <x v="3"/>
    <x v="1"/>
    <x v="7"/>
    <n v="1"/>
    <n v="4500"/>
    <n v="0.02"/>
    <n v="4410"/>
    <n v="2822.4"/>
    <n v="1587.6"/>
  </r>
  <r>
    <x v="15"/>
    <x v="14"/>
    <s v="Customer 016"/>
    <x v="0"/>
    <x v="3"/>
    <x v="5"/>
    <n v="2"/>
    <n v="250"/>
    <n v="0.1"/>
    <n v="450"/>
    <n v="337.5"/>
    <n v="112.5"/>
  </r>
  <r>
    <x v="16"/>
    <x v="15"/>
    <s v="Customer 017"/>
    <x v="0"/>
    <x v="3"/>
    <x v="4"/>
    <n v="1"/>
    <n v="15000"/>
    <n v="0.02"/>
    <n v="14700"/>
    <n v="8820"/>
    <n v="5880"/>
  </r>
  <r>
    <x v="17"/>
    <x v="16"/>
    <s v="Customer 018"/>
    <x v="2"/>
    <x v="3"/>
    <x v="7"/>
    <n v="4"/>
    <n v="4500"/>
    <n v="0.02"/>
    <n v="17640"/>
    <n v="13053.6"/>
    <n v="4586.3999999999996"/>
  </r>
  <r>
    <x v="18"/>
    <x v="17"/>
    <s v="Customer 019"/>
    <x v="0"/>
    <x v="0"/>
    <x v="4"/>
    <n v="5"/>
    <n v="15000"/>
    <n v="0.1"/>
    <n v="67500"/>
    <n v="47250"/>
    <n v="20250"/>
  </r>
  <r>
    <x v="19"/>
    <x v="18"/>
    <s v="Customer 020"/>
    <x v="3"/>
    <x v="1"/>
    <x v="6"/>
    <n v="8"/>
    <n v="12500"/>
    <n v="0.02"/>
    <n v="98000"/>
    <n v="72520"/>
    <n v="25480"/>
  </r>
  <r>
    <x v="20"/>
    <x v="19"/>
    <s v="Customer 021"/>
    <x v="0"/>
    <x v="3"/>
    <x v="2"/>
    <n v="3"/>
    <n v="2200"/>
    <n v="0.05"/>
    <n v="6270"/>
    <n v="3950.1"/>
    <n v="2319.9"/>
  </r>
  <r>
    <x v="21"/>
    <x v="20"/>
    <s v="Customer 022"/>
    <x v="2"/>
    <x v="2"/>
    <x v="8"/>
    <n v="8"/>
    <n v="28000"/>
    <n v="0.1"/>
    <n v="201600"/>
    <n v="155232"/>
    <n v="46368"/>
  </r>
  <r>
    <x v="22"/>
    <x v="21"/>
    <s v="Customer 023"/>
    <x v="0"/>
    <x v="3"/>
    <x v="6"/>
    <n v="8"/>
    <n v="12500"/>
    <n v="0.02"/>
    <n v="98000"/>
    <n v="72520"/>
    <n v="25480"/>
  </r>
  <r>
    <x v="23"/>
    <x v="22"/>
    <s v="Customer 024"/>
    <x v="0"/>
    <x v="2"/>
    <x v="3"/>
    <n v="10"/>
    <n v="18000"/>
    <n v="0.02"/>
    <n v="176400"/>
    <n v="139356"/>
    <n v="37044"/>
  </r>
  <r>
    <x v="24"/>
    <x v="23"/>
    <s v="Customer 025"/>
    <x v="1"/>
    <x v="2"/>
    <x v="3"/>
    <n v="4"/>
    <n v="18000"/>
    <n v="0"/>
    <n v="72000"/>
    <n v="54000"/>
    <n v="18000"/>
  </r>
  <r>
    <x v="25"/>
    <x v="24"/>
    <s v="Customer 026"/>
    <x v="3"/>
    <x v="3"/>
    <x v="3"/>
    <n v="6"/>
    <n v="18000"/>
    <n v="0.02"/>
    <n v="105840"/>
    <n v="81496.800000000003"/>
    <n v="24343.199999999997"/>
  </r>
  <r>
    <x v="26"/>
    <x v="25"/>
    <s v="Customer 027"/>
    <x v="1"/>
    <x v="3"/>
    <x v="9"/>
    <n v="8"/>
    <n v="9500"/>
    <n v="0.05"/>
    <n v="72200"/>
    <n v="44764"/>
    <n v="27436"/>
  </r>
  <r>
    <x v="27"/>
    <x v="26"/>
    <s v="Customer 028"/>
    <x v="1"/>
    <x v="3"/>
    <x v="5"/>
    <n v="5"/>
    <n v="250"/>
    <n v="0.15"/>
    <n v="1062.5"/>
    <n v="669.375"/>
    <n v="393.125"/>
  </r>
  <r>
    <x v="28"/>
    <x v="27"/>
    <s v="Customer 029"/>
    <x v="0"/>
    <x v="0"/>
    <x v="3"/>
    <n v="6"/>
    <n v="18000"/>
    <n v="0.1"/>
    <n v="97200"/>
    <n v="59292"/>
    <n v="37908"/>
  </r>
  <r>
    <x v="29"/>
    <x v="28"/>
    <s v="Customer 030"/>
    <x v="3"/>
    <x v="1"/>
    <x v="1"/>
    <n v="1"/>
    <n v="1800"/>
    <n v="0"/>
    <n v="1800"/>
    <n v="1224"/>
    <n v="576"/>
  </r>
  <r>
    <x v="30"/>
    <x v="29"/>
    <s v="Customer 031"/>
    <x v="2"/>
    <x v="1"/>
    <x v="5"/>
    <n v="8"/>
    <n v="250"/>
    <n v="0.1"/>
    <n v="1800"/>
    <n v="1206"/>
    <n v="594"/>
  </r>
  <r>
    <x v="31"/>
    <x v="30"/>
    <s v="Customer 032"/>
    <x v="2"/>
    <x v="1"/>
    <x v="1"/>
    <n v="5"/>
    <n v="1800"/>
    <n v="0.08"/>
    <n v="8280"/>
    <n v="5547.6"/>
    <n v="2732.3999999999996"/>
  </r>
  <r>
    <x v="32"/>
    <x v="31"/>
    <s v="Customer 033"/>
    <x v="1"/>
    <x v="3"/>
    <x v="5"/>
    <n v="4"/>
    <n v="250"/>
    <n v="0.1"/>
    <n v="900"/>
    <n v="639"/>
    <n v="261"/>
  </r>
  <r>
    <x v="33"/>
    <x v="32"/>
    <s v="Customer 034"/>
    <x v="0"/>
    <x v="1"/>
    <x v="2"/>
    <n v="8"/>
    <n v="2200"/>
    <n v="0.05"/>
    <n v="16720"/>
    <n v="12205.6"/>
    <n v="4514.3999999999996"/>
  </r>
  <r>
    <x v="34"/>
    <x v="33"/>
    <s v="Customer 035"/>
    <x v="0"/>
    <x v="2"/>
    <x v="8"/>
    <n v="8"/>
    <n v="28000"/>
    <n v="0.02"/>
    <n v="219520"/>
    <n v="149273.60000000001"/>
    <n v="70246.399999999994"/>
  </r>
  <r>
    <x v="35"/>
    <x v="34"/>
    <s v="Customer 036"/>
    <x v="2"/>
    <x v="2"/>
    <x v="6"/>
    <n v="6"/>
    <n v="12500"/>
    <n v="0.05"/>
    <n v="71250"/>
    <n v="44887.5"/>
    <n v="26362.5"/>
  </r>
  <r>
    <x v="36"/>
    <x v="35"/>
    <s v="Customer 037"/>
    <x v="3"/>
    <x v="2"/>
    <x v="9"/>
    <n v="4"/>
    <n v="9500"/>
    <n v="0.08"/>
    <n v="34960"/>
    <n v="22724"/>
    <n v="12236"/>
  </r>
  <r>
    <x v="37"/>
    <x v="36"/>
    <s v="Customer 038"/>
    <x v="2"/>
    <x v="3"/>
    <x v="9"/>
    <n v="4"/>
    <n v="9500"/>
    <n v="0.15"/>
    <n v="32300"/>
    <n v="22933"/>
    <n v="9367"/>
  </r>
  <r>
    <x v="38"/>
    <x v="37"/>
    <s v="Customer 039"/>
    <x v="0"/>
    <x v="1"/>
    <x v="7"/>
    <n v="7"/>
    <n v="4500"/>
    <n v="0.15"/>
    <n v="26775"/>
    <n v="21420"/>
    <n v="5355"/>
  </r>
  <r>
    <x v="39"/>
    <x v="21"/>
    <s v="Customer 040"/>
    <x v="0"/>
    <x v="0"/>
    <x v="7"/>
    <n v="1"/>
    <n v="4500"/>
    <n v="0.02"/>
    <n v="4410"/>
    <n v="3439.8"/>
    <n v="970.19999999999982"/>
  </r>
  <r>
    <x v="40"/>
    <x v="38"/>
    <s v="Customer 041"/>
    <x v="0"/>
    <x v="3"/>
    <x v="1"/>
    <n v="6"/>
    <n v="1800"/>
    <n v="0"/>
    <n v="10800"/>
    <n v="8316"/>
    <n v="2484"/>
  </r>
  <r>
    <x v="41"/>
    <x v="39"/>
    <s v="Customer 042"/>
    <x v="2"/>
    <x v="2"/>
    <x v="2"/>
    <n v="9"/>
    <n v="2200"/>
    <n v="0.05"/>
    <n v="18810"/>
    <n v="12038.4"/>
    <n v="6771.6"/>
  </r>
  <r>
    <x v="42"/>
    <x v="16"/>
    <s v="Customer 043"/>
    <x v="1"/>
    <x v="2"/>
    <x v="6"/>
    <n v="8"/>
    <n v="12500"/>
    <n v="0"/>
    <n v="100000"/>
    <n v="63000"/>
    <n v="37000"/>
  </r>
  <r>
    <x v="43"/>
    <x v="40"/>
    <s v="Customer 044"/>
    <x v="1"/>
    <x v="2"/>
    <x v="3"/>
    <n v="10"/>
    <n v="18000"/>
    <n v="0.02"/>
    <n v="176400"/>
    <n v="130536"/>
    <n v="45864"/>
  </r>
  <r>
    <x v="44"/>
    <x v="0"/>
    <s v="Customer 045"/>
    <x v="3"/>
    <x v="3"/>
    <x v="7"/>
    <n v="7"/>
    <n v="4500"/>
    <n v="0.08"/>
    <n v="28980"/>
    <n v="22314.6"/>
    <n v="6665.4000000000015"/>
  </r>
  <r>
    <x v="45"/>
    <x v="41"/>
    <s v="Customer 046"/>
    <x v="2"/>
    <x v="3"/>
    <x v="0"/>
    <n v="1"/>
    <n v="65000"/>
    <n v="0.02"/>
    <n v="63700"/>
    <n v="47775"/>
    <n v="15925"/>
  </r>
  <r>
    <x v="46"/>
    <x v="42"/>
    <s v="Customer 047"/>
    <x v="3"/>
    <x v="2"/>
    <x v="4"/>
    <n v="8"/>
    <n v="15000"/>
    <n v="0.15"/>
    <n v="102000"/>
    <n v="74460"/>
    <n v="27540"/>
  </r>
  <r>
    <x v="47"/>
    <x v="43"/>
    <s v="Customer 048"/>
    <x v="1"/>
    <x v="3"/>
    <x v="3"/>
    <n v="7"/>
    <n v="18000"/>
    <n v="0.1"/>
    <n v="113400"/>
    <n v="89586"/>
    <n v="23814"/>
  </r>
  <r>
    <x v="48"/>
    <x v="27"/>
    <s v="Customer 049"/>
    <x v="0"/>
    <x v="1"/>
    <x v="4"/>
    <n v="5"/>
    <n v="15000"/>
    <n v="0.1"/>
    <n v="67500"/>
    <n v="49275"/>
    <n v="18225"/>
  </r>
  <r>
    <x v="49"/>
    <x v="30"/>
    <s v="Customer 050"/>
    <x v="1"/>
    <x v="2"/>
    <x v="6"/>
    <n v="6"/>
    <n v="12500"/>
    <n v="0.05"/>
    <n v="71250"/>
    <n v="51300"/>
    <n v="19950"/>
  </r>
  <r>
    <x v="50"/>
    <x v="44"/>
    <s v="Customer 051"/>
    <x v="1"/>
    <x v="0"/>
    <x v="6"/>
    <n v="1"/>
    <n v="12500"/>
    <n v="0"/>
    <n v="12500"/>
    <n v="9375"/>
    <n v="3125"/>
  </r>
  <r>
    <x v="51"/>
    <x v="45"/>
    <s v="Customer 052"/>
    <x v="2"/>
    <x v="3"/>
    <x v="5"/>
    <n v="5"/>
    <n v="250"/>
    <n v="0.05"/>
    <n v="1187.5"/>
    <n v="783.75"/>
    <n v="403.75"/>
  </r>
  <r>
    <x v="52"/>
    <x v="46"/>
    <s v="Customer 053"/>
    <x v="2"/>
    <x v="1"/>
    <x v="9"/>
    <n v="1"/>
    <n v="9500"/>
    <n v="0.02"/>
    <n v="9310"/>
    <n v="6796.3"/>
    <n v="2513.6999999999998"/>
  </r>
  <r>
    <x v="53"/>
    <x v="47"/>
    <s v="Customer 054"/>
    <x v="0"/>
    <x v="0"/>
    <x v="0"/>
    <n v="9"/>
    <n v="65000"/>
    <n v="0.15"/>
    <n v="497250"/>
    <n v="377910"/>
    <n v="119340"/>
  </r>
  <r>
    <x v="54"/>
    <x v="48"/>
    <s v="Customer 055"/>
    <x v="3"/>
    <x v="0"/>
    <x v="8"/>
    <n v="5"/>
    <n v="28000"/>
    <n v="0.05"/>
    <n v="133000"/>
    <n v="97090"/>
    <n v="35910"/>
  </r>
  <r>
    <x v="55"/>
    <x v="49"/>
    <s v="Customer 056"/>
    <x v="2"/>
    <x v="2"/>
    <x v="1"/>
    <n v="9"/>
    <n v="1800"/>
    <n v="0.02"/>
    <n v="15876"/>
    <n v="11907"/>
    <n v="3969"/>
  </r>
  <r>
    <x v="56"/>
    <x v="50"/>
    <s v="Customer 057"/>
    <x v="3"/>
    <x v="1"/>
    <x v="3"/>
    <n v="1"/>
    <n v="18000"/>
    <n v="0.08"/>
    <n v="16560"/>
    <n v="12751.2"/>
    <n v="3808.7999999999993"/>
  </r>
  <r>
    <x v="57"/>
    <x v="51"/>
    <s v="Customer 058"/>
    <x v="0"/>
    <x v="2"/>
    <x v="7"/>
    <n v="2"/>
    <n v="4500"/>
    <n v="0.15"/>
    <n v="7650"/>
    <n v="5049"/>
    <n v="2601"/>
  </r>
  <r>
    <x v="58"/>
    <x v="52"/>
    <s v="Customer 059"/>
    <x v="2"/>
    <x v="2"/>
    <x v="7"/>
    <n v="8"/>
    <n v="4500"/>
    <n v="0.1"/>
    <n v="32400"/>
    <n v="22356"/>
    <n v="10044"/>
  </r>
  <r>
    <x v="59"/>
    <x v="53"/>
    <s v="Customer 060"/>
    <x v="1"/>
    <x v="0"/>
    <x v="8"/>
    <n v="9"/>
    <n v="28000"/>
    <n v="0.15"/>
    <n v="214200"/>
    <n v="156366"/>
    <n v="57834"/>
  </r>
  <r>
    <x v="60"/>
    <x v="54"/>
    <s v="Customer 061"/>
    <x v="2"/>
    <x v="3"/>
    <x v="2"/>
    <n v="6"/>
    <n v="2200"/>
    <n v="0.08"/>
    <n v="12144"/>
    <n v="8379.36"/>
    <n v="3764.6399999999994"/>
  </r>
  <r>
    <x v="61"/>
    <x v="55"/>
    <s v="Customer 062"/>
    <x v="1"/>
    <x v="1"/>
    <x v="6"/>
    <n v="1"/>
    <n v="12500"/>
    <n v="0.08"/>
    <n v="11500"/>
    <n v="8395"/>
    <n v="3105"/>
  </r>
  <r>
    <x v="62"/>
    <x v="56"/>
    <s v="Customer 063"/>
    <x v="0"/>
    <x v="0"/>
    <x v="6"/>
    <n v="7"/>
    <n v="12500"/>
    <n v="0.02"/>
    <n v="85750"/>
    <n v="66027.5"/>
    <n v="19722.5"/>
  </r>
  <r>
    <x v="63"/>
    <x v="57"/>
    <s v="Customer 064"/>
    <x v="2"/>
    <x v="3"/>
    <x v="1"/>
    <n v="6"/>
    <n v="1800"/>
    <n v="0.08"/>
    <n v="9936"/>
    <n v="5961.6"/>
    <n v="3974.3999999999996"/>
  </r>
  <r>
    <x v="64"/>
    <x v="58"/>
    <s v="Customer 065"/>
    <x v="0"/>
    <x v="2"/>
    <x v="5"/>
    <n v="3"/>
    <n v="250"/>
    <n v="0.02"/>
    <n v="735"/>
    <n v="485.1"/>
    <n v="249.89999999999998"/>
  </r>
  <r>
    <x v="65"/>
    <x v="59"/>
    <s v="Customer 066"/>
    <x v="1"/>
    <x v="1"/>
    <x v="2"/>
    <n v="10"/>
    <n v="2200"/>
    <n v="0.1"/>
    <n v="19800"/>
    <n v="15246"/>
    <n v="4554"/>
  </r>
  <r>
    <x v="66"/>
    <x v="60"/>
    <s v="Customer 067"/>
    <x v="2"/>
    <x v="2"/>
    <x v="0"/>
    <n v="5"/>
    <n v="65000"/>
    <n v="0.08"/>
    <n v="299000"/>
    <n v="239200"/>
    <n v="59800"/>
  </r>
  <r>
    <x v="67"/>
    <x v="61"/>
    <s v="Customer 068"/>
    <x v="3"/>
    <x v="2"/>
    <x v="7"/>
    <n v="4"/>
    <n v="4500"/>
    <n v="0.08"/>
    <n v="16560"/>
    <n v="13248"/>
    <n v="3312"/>
  </r>
  <r>
    <x v="68"/>
    <x v="62"/>
    <s v="Customer 069"/>
    <x v="2"/>
    <x v="2"/>
    <x v="8"/>
    <n v="6"/>
    <n v="28000"/>
    <n v="0.15"/>
    <n v="142800"/>
    <n v="91392"/>
    <n v="51408"/>
  </r>
  <r>
    <x v="69"/>
    <x v="8"/>
    <s v="Customer 070"/>
    <x v="0"/>
    <x v="1"/>
    <x v="7"/>
    <n v="8"/>
    <n v="4500"/>
    <n v="0.08"/>
    <n v="33120"/>
    <n v="25833.599999999999"/>
    <n v="7286.4000000000015"/>
  </r>
  <r>
    <x v="70"/>
    <x v="63"/>
    <s v="Customer 071"/>
    <x v="1"/>
    <x v="0"/>
    <x v="8"/>
    <n v="5"/>
    <n v="28000"/>
    <n v="0.15"/>
    <n v="119000"/>
    <n v="88060"/>
    <n v="30940"/>
  </r>
  <r>
    <x v="71"/>
    <x v="31"/>
    <s v="Customer 072"/>
    <x v="3"/>
    <x v="3"/>
    <x v="5"/>
    <n v="9"/>
    <n v="250"/>
    <n v="0.1"/>
    <n v="2025"/>
    <n v="1539"/>
    <n v="486"/>
  </r>
  <r>
    <x v="72"/>
    <x v="64"/>
    <s v="Customer 073"/>
    <x v="0"/>
    <x v="2"/>
    <x v="8"/>
    <n v="4"/>
    <n v="28000"/>
    <n v="0"/>
    <n v="112000"/>
    <n v="77280"/>
    <n v="34720"/>
  </r>
  <r>
    <x v="73"/>
    <x v="65"/>
    <s v="Customer 074"/>
    <x v="0"/>
    <x v="1"/>
    <x v="5"/>
    <n v="2"/>
    <n v="250"/>
    <n v="0.1"/>
    <n v="450"/>
    <n v="328.5"/>
    <n v="121.5"/>
  </r>
  <r>
    <x v="74"/>
    <x v="65"/>
    <s v="Customer 075"/>
    <x v="3"/>
    <x v="2"/>
    <x v="5"/>
    <n v="4"/>
    <n v="250"/>
    <n v="0.1"/>
    <n v="900"/>
    <n v="720"/>
    <n v="180"/>
  </r>
  <r>
    <x v="75"/>
    <x v="66"/>
    <s v="Customer 076"/>
    <x v="3"/>
    <x v="1"/>
    <x v="3"/>
    <n v="2"/>
    <n v="18000"/>
    <n v="0.05"/>
    <n v="34200"/>
    <n v="24624"/>
    <n v="9576"/>
  </r>
  <r>
    <x v="76"/>
    <x v="67"/>
    <s v="Customer 077"/>
    <x v="3"/>
    <x v="1"/>
    <x v="1"/>
    <n v="7"/>
    <n v="1800"/>
    <n v="0.02"/>
    <n v="12348"/>
    <n v="7408.8"/>
    <n v="4939.2"/>
  </r>
  <r>
    <x v="77"/>
    <x v="68"/>
    <s v="Customer 078"/>
    <x v="0"/>
    <x v="1"/>
    <x v="6"/>
    <n v="5"/>
    <n v="12500"/>
    <n v="0.05"/>
    <n v="59375"/>
    <n v="40375"/>
    <n v="19000"/>
  </r>
  <r>
    <x v="78"/>
    <x v="69"/>
    <s v="Customer 079"/>
    <x v="3"/>
    <x v="0"/>
    <x v="0"/>
    <n v="6"/>
    <n v="65000"/>
    <n v="0.15"/>
    <n v="331500"/>
    <n v="261885"/>
    <n v="69615"/>
  </r>
  <r>
    <x v="79"/>
    <x v="70"/>
    <s v="Customer 080"/>
    <x v="0"/>
    <x v="2"/>
    <x v="7"/>
    <n v="8"/>
    <n v="4500"/>
    <n v="0.15"/>
    <n v="30600"/>
    <n v="19890"/>
    <n v="10710"/>
  </r>
  <r>
    <x v="80"/>
    <x v="71"/>
    <s v="Customer 081"/>
    <x v="1"/>
    <x v="1"/>
    <x v="8"/>
    <n v="6"/>
    <n v="28000"/>
    <n v="0.05"/>
    <n v="159600"/>
    <n v="111720"/>
    <n v="47880"/>
  </r>
  <r>
    <x v="81"/>
    <x v="24"/>
    <s v="Customer 082"/>
    <x v="0"/>
    <x v="3"/>
    <x v="8"/>
    <n v="9"/>
    <n v="28000"/>
    <n v="0.05"/>
    <n v="239400"/>
    <n v="186732"/>
    <n v="52668"/>
  </r>
  <r>
    <x v="82"/>
    <x v="72"/>
    <s v="Customer 083"/>
    <x v="2"/>
    <x v="3"/>
    <x v="7"/>
    <n v="9"/>
    <n v="4500"/>
    <n v="0.08"/>
    <n v="37260"/>
    <n v="23473.8"/>
    <n v="13786.2"/>
  </r>
  <r>
    <x v="83"/>
    <x v="73"/>
    <s v="Customer 084"/>
    <x v="2"/>
    <x v="2"/>
    <x v="9"/>
    <n v="2"/>
    <n v="9500"/>
    <n v="0.15"/>
    <n v="16150"/>
    <n v="11628"/>
    <n v="4522"/>
  </r>
  <r>
    <x v="84"/>
    <x v="74"/>
    <s v="Customer 085"/>
    <x v="0"/>
    <x v="0"/>
    <x v="6"/>
    <n v="2"/>
    <n v="12500"/>
    <n v="0.02"/>
    <n v="24500"/>
    <n v="18865"/>
    <n v="5635"/>
  </r>
  <r>
    <x v="85"/>
    <x v="75"/>
    <s v="Customer 086"/>
    <x v="3"/>
    <x v="3"/>
    <x v="8"/>
    <n v="6"/>
    <n v="28000"/>
    <n v="0.15"/>
    <n v="142800"/>
    <n v="85680"/>
    <n v="57120"/>
  </r>
  <r>
    <x v="86"/>
    <x v="76"/>
    <s v="Customer 087"/>
    <x v="1"/>
    <x v="2"/>
    <x v="2"/>
    <n v="2"/>
    <n v="2200"/>
    <n v="0.15"/>
    <n v="3740"/>
    <n v="2580.6"/>
    <n v="1159.4000000000001"/>
  </r>
  <r>
    <x v="87"/>
    <x v="77"/>
    <s v="Customer 088"/>
    <x v="1"/>
    <x v="1"/>
    <x v="2"/>
    <n v="6"/>
    <n v="2200"/>
    <n v="0.02"/>
    <n v="12936"/>
    <n v="9184.56"/>
    <n v="3751.4400000000005"/>
  </r>
  <r>
    <x v="88"/>
    <x v="78"/>
    <s v="Customer 089"/>
    <x v="3"/>
    <x v="2"/>
    <x v="1"/>
    <n v="10"/>
    <n v="1800"/>
    <n v="0.1"/>
    <n v="16200"/>
    <n v="10206"/>
    <n v="5994"/>
  </r>
  <r>
    <x v="89"/>
    <x v="79"/>
    <s v="Customer 090"/>
    <x v="2"/>
    <x v="1"/>
    <x v="9"/>
    <n v="9"/>
    <n v="9500"/>
    <n v="0.02"/>
    <n v="83790"/>
    <n v="61166.7"/>
    <n v="22623.300000000003"/>
  </r>
  <r>
    <x v="90"/>
    <x v="80"/>
    <s v="Customer 091"/>
    <x v="1"/>
    <x v="0"/>
    <x v="2"/>
    <n v="5"/>
    <n v="2200"/>
    <n v="0.1"/>
    <n v="9900"/>
    <n v="6633"/>
    <n v="3267"/>
  </r>
  <r>
    <x v="91"/>
    <x v="81"/>
    <s v="Customer 092"/>
    <x v="3"/>
    <x v="1"/>
    <x v="8"/>
    <n v="6"/>
    <n v="28000"/>
    <n v="0.08"/>
    <n v="154560"/>
    <n v="112828.8"/>
    <n v="41731.199999999997"/>
  </r>
  <r>
    <x v="92"/>
    <x v="82"/>
    <s v="Customer 093"/>
    <x v="0"/>
    <x v="3"/>
    <x v="9"/>
    <n v="10"/>
    <n v="9500"/>
    <n v="0.02"/>
    <n v="93100"/>
    <n v="69825"/>
    <n v="23275"/>
  </r>
  <r>
    <x v="93"/>
    <x v="83"/>
    <s v="Customer 094"/>
    <x v="2"/>
    <x v="2"/>
    <x v="5"/>
    <n v="2"/>
    <n v="250"/>
    <n v="0.05"/>
    <n v="475"/>
    <n v="299.25"/>
    <n v="175.75"/>
  </r>
  <r>
    <x v="94"/>
    <x v="84"/>
    <s v="Customer 095"/>
    <x v="3"/>
    <x v="1"/>
    <x v="3"/>
    <n v="4"/>
    <n v="18000"/>
    <n v="0.02"/>
    <n v="70560"/>
    <n v="47980.800000000003"/>
    <n v="22579.199999999997"/>
  </r>
  <r>
    <x v="95"/>
    <x v="85"/>
    <s v="Customer 096"/>
    <x v="0"/>
    <x v="3"/>
    <x v="9"/>
    <n v="6"/>
    <n v="9500"/>
    <n v="0"/>
    <n v="57000"/>
    <n v="35340"/>
    <n v="21660"/>
  </r>
  <r>
    <x v="96"/>
    <x v="86"/>
    <s v="Customer 097"/>
    <x v="1"/>
    <x v="0"/>
    <x v="5"/>
    <n v="10"/>
    <n v="250"/>
    <n v="0"/>
    <n v="2500"/>
    <n v="1650"/>
    <n v="850"/>
  </r>
  <r>
    <x v="97"/>
    <x v="87"/>
    <s v="Customer 098"/>
    <x v="2"/>
    <x v="3"/>
    <x v="1"/>
    <n v="9"/>
    <n v="1800"/>
    <n v="0"/>
    <n v="16200"/>
    <n v="12150"/>
    <n v="4050"/>
  </r>
  <r>
    <x v="98"/>
    <x v="88"/>
    <s v="Customer 099"/>
    <x v="1"/>
    <x v="0"/>
    <x v="4"/>
    <n v="7"/>
    <n v="15000"/>
    <n v="0.02"/>
    <n v="102900"/>
    <n v="78204"/>
    <n v="24696"/>
  </r>
  <r>
    <x v="99"/>
    <x v="89"/>
    <s v="Customer 100"/>
    <x v="0"/>
    <x v="1"/>
    <x v="5"/>
    <n v="10"/>
    <n v="250"/>
    <n v="0"/>
    <n v="2500"/>
    <n v="1750"/>
    <n v="750"/>
  </r>
  <r>
    <x v="100"/>
    <x v="90"/>
    <s v="Customer 101"/>
    <x v="0"/>
    <x v="1"/>
    <x v="6"/>
    <n v="7"/>
    <n v="12500"/>
    <n v="0.1"/>
    <n v="78750"/>
    <n v="50400"/>
    <n v="28350"/>
  </r>
  <r>
    <x v="101"/>
    <x v="91"/>
    <s v="Customer 102"/>
    <x v="3"/>
    <x v="2"/>
    <x v="9"/>
    <n v="9"/>
    <n v="9500"/>
    <n v="0.02"/>
    <n v="83790"/>
    <n v="62004.6"/>
    <n v="21785.4"/>
  </r>
  <r>
    <x v="102"/>
    <x v="92"/>
    <s v="Customer 103"/>
    <x v="1"/>
    <x v="3"/>
    <x v="6"/>
    <n v="8"/>
    <n v="12500"/>
    <n v="0.15"/>
    <n v="85000"/>
    <n v="51850"/>
    <n v="33150"/>
  </r>
  <r>
    <x v="103"/>
    <x v="93"/>
    <s v="Customer 104"/>
    <x v="1"/>
    <x v="2"/>
    <x v="9"/>
    <n v="6"/>
    <n v="9500"/>
    <n v="0.15"/>
    <n v="48450"/>
    <n v="31977"/>
    <n v="16473"/>
  </r>
  <r>
    <x v="104"/>
    <x v="94"/>
    <s v="Customer 105"/>
    <x v="3"/>
    <x v="1"/>
    <x v="4"/>
    <n v="1"/>
    <n v="15000"/>
    <n v="0.1"/>
    <n v="13500"/>
    <n v="9990"/>
    <n v="3510"/>
  </r>
  <r>
    <x v="105"/>
    <x v="89"/>
    <s v="Customer 106"/>
    <x v="2"/>
    <x v="3"/>
    <x v="8"/>
    <n v="1"/>
    <n v="28000"/>
    <n v="0.02"/>
    <n v="27440"/>
    <n v="16738.400000000001"/>
    <n v="10701.599999999999"/>
  </r>
  <r>
    <x v="106"/>
    <x v="95"/>
    <s v="Customer 107"/>
    <x v="3"/>
    <x v="0"/>
    <x v="0"/>
    <n v="9"/>
    <n v="65000"/>
    <n v="0.08"/>
    <n v="538200"/>
    <n v="376740"/>
    <n v="161460"/>
  </r>
  <r>
    <x v="107"/>
    <x v="96"/>
    <s v="Customer 108"/>
    <x v="0"/>
    <x v="2"/>
    <x v="3"/>
    <n v="3"/>
    <n v="18000"/>
    <n v="0.15"/>
    <n v="45900"/>
    <n v="28458"/>
    <n v="17442"/>
  </r>
  <r>
    <x v="108"/>
    <x v="97"/>
    <s v="Customer 109"/>
    <x v="1"/>
    <x v="1"/>
    <x v="3"/>
    <n v="7"/>
    <n v="18000"/>
    <n v="0.1"/>
    <n v="113400"/>
    <n v="85050"/>
    <n v="28350"/>
  </r>
  <r>
    <x v="109"/>
    <x v="71"/>
    <s v="Customer 110"/>
    <x v="1"/>
    <x v="2"/>
    <x v="6"/>
    <n v="4"/>
    <n v="12500"/>
    <n v="0.08"/>
    <n v="46000"/>
    <n v="32660"/>
    <n v="13340"/>
  </r>
  <r>
    <x v="110"/>
    <x v="77"/>
    <s v="Customer 111"/>
    <x v="2"/>
    <x v="3"/>
    <x v="5"/>
    <n v="6"/>
    <n v="250"/>
    <n v="0.1"/>
    <n v="1350"/>
    <n v="877.5"/>
    <n v="472.5"/>
  </r>
  <r>
    <x v="111"/>
    <x v="98"/>
    <s v="Customer 112"/>
    <x v="2"/>
    <x v="1"/>
    <x v="4"/>
    <n v="3"/>
    <n v="15000"/>
    <n v="0.02"/>
    <n v="44100"/>
    <n v="27783"/>
    <n v="16317"/>
  </r>
  <r>
    <x v="112"/>
    <x v="26"/>
    <s v="Customer 113"/>
    <x v="0"/>
    <x v="1"/>
    <x v="3"/>
    <n v="10"/>
    <n v="18000"/>
    <n v="0.02"/>
    <n v="176400"/>
    <n v="111132"/>
    <n v="65268"/>
  </r>
  <r>
    <x v="113"/>
    <x v="99"/>
    <s v="Customer 114"/>
    <x v="2"/>
    <x v="3"/>
    <x v="9"/>
    <n v="7"/>
    <n v="9500"/>
    <n v="0.05"/>
    <n v="63175"/>
    <n v="46749.5"/>
    <n v="16425.5"/>
  </r>
  <r>
    <x v="114"/>
    <x v="37"/>
    <s v="Customer 115"/>
    <x v="3"/>
    <x v="0"/>
    <x v="8"/>
    <n v="8"/>
    <n v="28000"/>
    <n v="0.1"/>
    <n v="201600"/>
    <n v="153216"/>
    <n v="48384"/>
  </r>
  <r>
    <x v="115"/>
    <x v="100"/>
    <s v="Customer 116"/>
    <x v="0"/>
    <x v="2"/>
    <x v="5"/>
    <n v="7"/>
    <n v="250"/>
    <n v="0"/>
    <n v="1750"/>
    <n v="1330"/>
    <n v="420"/>
  </r>
  <r>
    <x v="116"/>
    <x v="101"/>
    <s v="Customer 117"/>
    <x v="1"/>
    <x v="0"/>
    <x v="0"/>
    <n v="1"/>
    <n v="65000"/>
    <n v="0.15"/>
    <n v="55250"/>
    <n v="44200"/>
    <n v="11050"/>
  </r>
  <r>
    <x v="117"/>
    <x v="102"/>
    <s v="Customer 118"/>
    <x v="2"/>
    <x v="3"/>
    <x v="9"/>
    <n v="4"/>
    <n v="9500"/>
    <n v="0.05"/>
    <n v="36100"/>
    <n v="24548"/>
    <n v="11552"/>
  </r>
  <r>
    <x v="118"/>
    <x v="62"/>
    <s v="Customer 119"/>
    <x v="2"/>
    <x v="1"/>
    <x v="7"/>
    <n v="9"/>
    <n v="4500"/>
    <n v="0.15"/>
    <n v="34425"/>
    <n v="25130.25"/>
    <n v="9294.75"/>
  </r>
  <r>
    <x v="119"/>
    <x v="103"/>
    <s v="Customer 120"/>
    <x v="3"/>
    <x v="2"/>
    <x v="4"/>
    <n v="3"/>
    <n v="15000"/>
    <n v="0.05"/>
    <n v="42750"/>
    <n v="32917.5"/>
    <n v="9832.5"/>
  </r>
  <r>
    <x v="120"/>
    <x v="104"/>
    <s v="Customer 121"/>
    <x v="1"/>
    <x v="2"/>
    <x v="4"/>
    <n v="9"/>
    <n v="15000"/>
    <n v="0"/>
    <n v="135000"/>
    <n v="89100"/>
    <n v="45900"/>
  </r>
  <r>
    <x v="121"/>
    <x v="86"/>
    <s v="Customer 122"/>
    <x v="2"/>
    <x v="3"/>
    <x v="3"/>
    <n v="5"/>
    <n v="18000"/>
    <n v="0.05"/>
    <n v="85500"/>
    <n v="53010"/>
    <n v="32490"/>
  </r>
  <r>
    <x v="122"/>
    <x v="105"/>
    <s v="Customer 123"/>
    <x v="1"/>
    <x v="2"/>
    <x v="9"/>
    <n v="6"/>
    <n v="9500"/>
    <n v="0.15"/>
    <n v="48450"/>
    <n v="31008"/>
    <n v="17442"/>
  </r>
  <r>
    <x v="123"/>
    <x v="106"/>
    <s v="Customer 124"/>
    <x v="1"/>
    <x v="0"/>
    <x v="7"/>
    <n v="6"/>
    <n v="4500"/>
    <n v="0.02"/>
    <n v="26460"/>
    <n v="17728.2"/>
    <n v="8731.7999999999993"/>
  </r>
  <r>
    <x v="124"/>
    <x v="107"/>
    <s v="Customer 125"/>
    <x v="2"/>
    <x v="1"/>
    <x v="8"/>
    <n v="1"/>
    <n v="28000"/>
    <n v="0.15"/>
    <n v="23800"/>
    <n v="16422"/>
    <n v="7378"/>
  </r>
  <r>
    <x v="125"/>
    <x v="108"/>
    <s v="Customer 126"/>
    <x v="0"/>
    <x v="0"/>
    <x v="9"/>
    <n v="3"/>
    <n v="9500"/>
    <n v="0"/>
    <n v="28500"/>
    <n v="17955"/>
    <n v="10545"/>
  </r>
  <r>
    <x v="126"/>
    <x v="109"/>
    <s v="Customer 127"/>
    <x v="3"/>
    <x v="3"/>
    <x v="3"/>
    <n v="5"/>
    <n v="18000"/>
    <n v="0.1"/>
    <n v="81000"/>
    <n v="61560"/>
    <n v="19440"/>
  </r>
  <r>
    <x v="127"/>
    <x v="110"/>
    <s v="Customer 128"/>
    <x v="1"/>
    <x v="2"/>
    <x v="8"/>
    <n v="10"/>
    <n v="28000"/>
    <n v="0.05"/>
    <n v="266000"/>
    <n v="202160"/>
    <n v="63840"/>
  </r>
  <r>
    <x v="128"/>
    <x v="111"/>
    <s v="Customer 129"/>
    <x v="0"/>
    <x v="1"/>
    <x v="0"/>
    <n v="2"/>
    <n v="65000"/>
    <n v="0.05"/>
    <n v="123500"/>
    <n v="74100"/>
    <n v="49400"/>
  </r>
  <r>
    <x v="129"/>
    <x v="112"/>
    <s v="Customer 130"/>
    <x v="0"/>
    <x v="3"/>
    <x v="3"/>
    <n v="9"/>
    <n v="18000"/>
    <n v="0.05"/>
    <n v="153900"/>
    <n v="121581"/>
    <n v="32319"/>
  </r>
  <r>
    <x v="130"/>
    <x v="113"/>
    <s v="Customer 131"/>
    <x v="1"/>
    <x v="2"/>
    <x v="9"/>
    <n v="10"/>
    <n v="9500"/>
    <n v="0"/>
    <n v="95000"/>
    <n v="75050"/>
    <n v="19950"/>
  </r>
  <r>
    <x v="131"/>
    <x v="114"/>
    <s v="Customer 132"/>
    <x v="0"/>
    <x v="1"/>
    <x v="4"/>
    <n v="3"/>
    <n v="15000"/>
    <n v="0"/>
    <n v="45000"/>
    <n v="32400"/>
    <n v="12600"/>
  </r>
  <r>
    <x v="132"/>
    <x v="37"/>
    <s v="Customer 133"/>
    <x v="1"/>
    <x v="2"/>
    <x v="1"/>
    <n v="10"/>
    <n v="1800"/>
    <n v="0.08"/>
    <n v="16560"/>
    <n v="12088.8"/>
    <n v="4471.2000000000007"/>
  </r>
  <r>
    <x v="133"/>
    <x v="32"/>
    <s v="Customer 134"/>
    <x v="3"/>
    <x v="1"/>
    <x v="7"/>
    <n v="7"/>
    <n v="4500"/>
    <n v="0.15"/>
    <n v="26775"/>
    <n v="19278"/>
    <n v="7497"/>
  </r>
  <r>
    <x v="134"/>
    <x v="115"/>
    <s v="Customer 135"/>
    <x v="2"/>
    <x v="2"/>
    <x v="2"/>
    <n v="6"/>
    <n v="2200"/>
    <n v="0.08"/>
    <n v="12144"/>
    <n v="9472.32"/>
    <n v="2671.6800000000003"/>
  </r>
  <r>
    <x v="135"/>
    <x v="116"/>
    <s v="Customer 136"/>
    <x v="1"/>
    <x v="0"/>
    <x v="2"/>
    <n v="9"/>
    <n v="2200"/>
    <n v="0.05"/>
    <n v="18810"/>
    <n v="12790.8"/>
    <n v="6019.2000000000007"/>
  </r>
  <r>
    <x v="136"/>
    <x v="117"/>
    <s v="Customer 137"/>
    <x v="0"/>
    <x v="0"/>
    <x v="9"/>
    <n v="9"/>
    <n v="9500"/>
    <n v="0.05"/>
    <n v="81225"/>
    <n v="51984"/>
    <n v="29241"/>
  </r>
  <r>
    <x v="137"/>
    <x v="118"/>
    <s v="Customer 138"/>
    <x v="2"/>
    <x v="3"/>
    <x v="7"/>
    <n v="5"/>
    <n v="4500"/>
    <n v="0.08"/>
    <n v="20700"/>
    <n v="14076"/>
    <n v="6624"/>
  </r>
  <r>
    <x v="138"/>
    <x v="100"/>
    <s v="Customer 139"/>
    <x v="0"/>
    <x v="2"/>
    <x v="7"/>
    <n v="10"/>
    <n v="4500"/>
    <n v="0.05"/>
    <n v="42750"/>
    <n v="30780"/>
    <n v="11970"/>
  </r>
  <r>
    <x v="139"/>
    <x v="119"/>
    <s v="Customer 140"/>
    <x v="3"/>
    <x v="3"/>
    <x v="0"/>
    <n v="1"/>
    <n v="65000"/>
    <n v="0"/>
    <n v="65000"/>
    <n v="43550"/>
    <n v="21450"/>
  </r>
  <r>
    <x v="140"/>
    <x v="120"/>
    <s v="Customer 141"/>
    <x v="2"/>
    <x v="1"/>
    <x v="1"/>
    <n v="6"/>
    <n v="1800"/>
    <n v="0.1"/>
    <n v="9720"/>
    <n v="5832"/>
    <n v="3888"/>
  </r>
  <r>
    <x v="141"/>
    <x v="121"/>
    <s v="Customer 142"/>
    <x v="0"/>
    <x v="1"/>
    <x v="9"/>
    <n v="1"/>
    <n v="9500"/>
    <n v="0"/>
    <n v="9500"/>
    <n v="6745"/>
    <n v="2755"/>
  </r>
  <r>
    <x v="142"/>
    <x v="23"/>
    <s v="Customer 143"/>
    <x v="1"/>
    <x v="1"/>
    <x v="8"/>
    <n v="5"/>
    <n v="28000"/>
    <n v="0.15"/>
    <n v="119000"/>
    <n v="91630"/>
    <n v="27370"/>
  </r>
  <r>
    <x v="143"/>
    <x v="122"/>
    <s v="Customer 144"/>
    <x v="3"/>
    <x v="2"/>
    <x v="2"/>
    <n v="6"/>
    <n v="2200"/>
    <n v="0"/>
    <n v="13200"/>
    <n v="9900"/>
    <n v="3300"/>
  </r>
  <r>
    <x v="144"/>
    <x v="123"/>
    <s v="Customer 145"/>
    <x v="2"/>
    <x v="0"/>
    <x v="6"/>
    <n v="1"/>
    <n v="12500"/>
    <n v="0.05"/>
    <n v="11875"/>
    <n v="8668.75"/>
    <n v="3206.25"/>
  </r>
  <r>
    <x v="145"/>
    <x v="57"/>
    <s v="Customer 146"/>
    <x v="0"/>
    <x v="3"/>
    <x v="2"/>
    <n v="9"/>
    <n v="2200"/>
    <n v="0.02"/>
    <n v="19404"/>
    <n v="13000.68"/>
    <n v="6403.32"/>
  </r>
  <r>
    <x v="146"/>
    <x v="124"/>
    <s v="Customer 147"/>
    <x v="2"/>
    <x v="2"/>
    <x v="0"/>
    <n v="7"/>
    <n v="65000"/>
    <n v="0.05"/>
    <n v="432250"/>
    <n v="272317.5"/>
    <n v="159932.5"/>
  </r>
  <r>
    <x v="147"/>
    <x v="38"/>
    <s v="Customer 148"/>
    <x v="1"/>
    <x v="1"/>
    <x v="2"/>
    <n v="3"/>
    <n v="2200"/>
    <n v="0.02"/>
    <n v="6468"/>
    <n v="5174.3999999999996"/>
    <n v="1293.6000000000004"/>
  </r>
  <r>
    <x v="148"/>
    <x v="125"/>
    <s v="Customer 149"/>
    <x v="2"/>
    <x v="3"/>
    <x v="8"/>
    <n v="2"/>
    <n v="28000"/>
    <n v="0.08"/>
    <n v="51520"/>
    <n v="34003.199999999997"/>
    <n v="17516.800000000003"/>
  </r>
  <r>
    <x v="149"/>
    <x v="126"/>
    <s v="Customer 150"/>
    <x v="2"/>
    <x v="2"/>
    <x v="8"/>
    <n v="3"/>
    <n v="28000"/>
    <n v="0.05"/>
    <n v="79800"/>
    <n v="47880"/>
    <n v="31920"/>
  </r>
  <r>
    <x v="150"/>
    <x v="114"/>
    <s v="Customer 151"/>
    <x v="3"/>
    <x v="1"/>
    <x v="8"/>
    <n v="7"/>
    <n v="28000"/>
    <n v="0"/>
    <n v="196000"/>
    <n v="119560"/>
    <n v="76440"/>
  </r>
  <r>
    <x v="151"/>
    <x v="127"/>
    <s v="Customer 152"/>
    <x v="1"/>
    <x v="1"/>
    <x v="3"/>
    <n v="1"/>
    <n v="18000"/>
    <n v="0.02"/>
    <n v="17640"/>
    <n v="13230"/>
    <n v="4410"/>
  </r>
  <r>
    <x v="152"/>
    <x v="128"/>
    <s v="Customer 153"/>
    <x v="1"/>
    <x v="2"/>
    <x v="1"/>
    <n v="6"/>
    <n v="1800"/>
    <n v="0.15"/>
    <n v="9180"/>
    <n v="5783.4"/>
    <n v="3396.6000000000004"/>
  </r>
  <r>
    <x v="153"/>
    <x v="129"/>
    <s v="Customer 154"/>
    <x v="2"/>
    <x v="0"/>
    <x v="2"/>
    <n v="2"/>
    <n v="2200"/>
    <n v="0.15"/>
    <n v="3740"/>
    <n v="2618"/>
    <n v="1122"/>
  </r>
  <r>
    <x v="154"/>
    <x v="130"/>
    <s v="Customer 155"/>
    <x v="3"/>
    <x v="0"/>
    <x v="5"/>
    <n v="2"/>
    <n v="250"/>
    <n v="0.15"/>
    <n v="425"/>
    <n v="323"/>
    <n v="102"/>
  </r>
  <r>
    <x v="155"/>
    <x v="131"/>
    <s v="Customer 156"/>
    <x v="3"/>
    <x v="2"/>
    <x v="1"/>
    <n v="8"/>
    <n v="1800"/>
    <n v="0.08"/>
    <n v="13248"/>
    <n v="10200.959999999999"/>
    <n v="3047.0400000000009"/>
  </r>
  <r>
    <x v="156"/>
    <x v="132"/>
    <s v="Customer 157"/>
    <x v="0"/>
    <x v="1"/>
    <x v="0"/>
    <n v="8"/>
    <n v="65000"/>
    <n v="0.08"/>
    <n v="478400"/>
    <n v="334880"/>
    <n v="143520"/>
  </r>
  <r>
    <x v="157"/>
    <x v="20"/>
    <s v="Customer 158"/>
    <x v="2"/>
    <x v="3"/>
    <x v="4"/>
    <n v="5"/>
    <n v="15000"/>
    <n v="0.05"/>
    <n v="71250"/>
    <n v="45600"/>
    <n v="25650"/>
  </r>
  <r>
    <x v="158"/>
    <x v="133"/>
    <s v="Customer 159"/>
    <x v="3"/>
    <x v="2"/>
    <x v="2"/>
    <n v="2"/>
    <n v="2200"/>
    <n v="0.15"/>
    <n v="3740"/>
    <n v="2954.6"/>
    <n v="785.40000000000009"/>
  </r>
  <r>
    <x v="159"/>
    <x v="7"/>
    <s v="Customer 160"/>
    <x v="0"/>
    <x v="0"/>
    <x v="8"/>
    <n v="1"/>
    <n v="28000"/>
    <n v="0.15"/>
    <n v="23800"/>
    <n v="19040"/>
    <n v="4760"/>
  </r>
  <r>
    <x v="160"/>
    <x v="134"/>
    <s v="Customer 161"/>
    <x v="1"/>
    <x v="0"/>
    <x v="8"/>
    <n v="3"/>
    <n v="28000"/>
    <n v="0.02"/>
    <n v="82320"/>
    <n v="63386.400000000001"/>
    <n v="18933.599999999999"/>
  </r>
  <r>
    <x v="161"/>
    <x v="135"/>
    <s v="Customer 162"/>
    <x v="2"/>
    <x v="2"/>
    <x v="7"/>
    <n v="1"/>
    <n v="4500"/>
    <n v="0"/>
    <n v="4500"/>
    <n v="3015"/>
    <n v="1485"/>
  </r>
  <r>
    <x v="162"/>
    <x v="30"/>
    <s v="Customer 163"/>
    <x v="3"/>
    <x v="2"/>
    <x v="2"/>
    <n v="7"/>
    <n v="2200"/>
    <n v="0.05"/>
    <n v="14630"/>
    <n v="11118.8"/>
    <n v="3511.2000000000007"/>
  </r>
  <r>
    <x v="163"/>
    <x v="136"/>
    <s v="Customer 164"/>
    <x v="2"/>
    <x v="3"/>
    <x v="2"/>
    <n v="5"/>
    <n v="2200"/>
    <n v="0.1"/>
    <n v="9900"/>
    <n v="6831"/>
    <n v="3069"/>
  </r>
  <r>
    <x v="164"/>
    <x v="137"/>
    <s v="Customer 165"/>
    <x v="3"/>
    <x v="1"/>
    <x v="7"/>
    <n v="3"/>
    <n v="4500"/>
    <n v="0.08"/>
    <n v="12420"/>
    <n v="8197.2000000000007"/>
    <n v="4222.7999999999993"/>
  </r>
  <r>
    <x v="165"/>
    <x v="138"/>
    <s v="Customer 166"/>
    <x v="2"/>
    <x v="2"/>
    <x v="1"/>
    <n v="7"/>
    <n v="1800"/>
    <n v="0.1"/>
    <n v="11340"/>
    <n v="8618.4"/>
    <n v="2721.6000000000004"/>
  </r>
  <r>
    <x v="166"/>
    <x v="101"/>
    <s v="Customer 167"/>
    <x v="2"/>
    <x v="0"/>
    <x v="5"/>
    <n v="4"/>
    <n v="250"/>
    <n v="0.15"/>
    <n v="850"/>
    <n v="561"/>
    <n v="289"/>
  </r>
  <r>
    <x v="167"/>
    <x v="94"/>
    <s v="Customer 168"/>
    <x v="3"/>
    <x v="0"/>
    <x v="1"/>
    <n v="4"/>
    <n v="1800"/>
    <n v="0.05"/>
    <n v="6840"/>
    <n v="5335.2"/>
    <n v="1504.8000000000002"/>
  </r>
  <r>
    <x v="168"/>
    <x v="139"/>
    <s v="Customer 169"/>
    <x v="2"/>
    <x v="0"/>
    <x v="4"/>
    <n v="2"/>
    <n v="15000"/>
    <n v="0.1"/>
    <n v="27000"/>
    <n v="19710"/>
    <n v="7290"/>
  </r>
  <r>
    <x v="169"/>
    <x v="136"/>
    <s v="Customer 170"/>
    <x v="1"/>
    <x v="0"/>
    <x v="9"/>
    <n v="6"/>
    <n v="9500"/>
    <n v="0.08"/>
    <n v="52440"/>
    <n v="31988.400000000001"/>
    <n v="20451.599999999999"/>
  </r>
  <r>
    <x v="170"/>
    <x v="140"/>
    <s v="Customer 171"/>
    <x v="3"/>
    <x v="3"/>
    <x v="8"/>
    <n v="10"/>
    <n v="28000"/>
    <n v="0.05"/>
    <n v="266000"/>
    <n v="196840"/>
    <n v="69160"/>
  </r>
  <r>
    <x v="171"/>
    <x v="84"/>
    <s v="Customer 172"/>
    <x v="2"/>
    <x v="3"/>
    <x v="9"/>
    <n v="4"/>
    <n v="9500"/>
    <n v="0"/>
    <n v="38000"/>
    <n v="28120"/>
    <n v="9880"/>
  </r>
  <r>
    <x v="172"/>
    <x v="141"/>
    <s v="Customer 173"/>
    <x v="0"/>
    <x v="3"/>
    <x v="1"/>
    <n v="6"/>
    <n v="1800"/>
    <n v="0.02"/>
    <n v="10584"/>
    <n v="7091.28"/>
    <n v="3492.7200000000003"/>
  </r>
  <r>
    <x v="173"/>
    <x v="142"/>
    <s v="Customer 174"/>
    <x v="0"/>
    <x v="1"/>
    <x v="9"/>
    <n v="7"/>
    <n v="9500"/>
    <n v="0.08"/>
    <n v="61180"/>
    <n v="45885"/>
    <n v="15295"/>
  </r>
  <r>
    <x v="174"/>
    <x v="81"/>
    <s v="Customer 175"/>
    <x v="1"/>
    <x v="0"/>
    <x v="1"/>
    <n v="5"/>
    <n v="1800"/>
    <n v="0"/>
    <n v="9000"/>
    <n v="5940"/>
    <n v="3060"/>
  </r>
  <r>
    <x v="175"/>
    <x v="77"/>
    <s v="Customer 176"/>
    <x v="3"/>
    <x v="3"/>
    <x v="6"/>
    <n v="8"/>
    <n v="12500"/>
    <n v="0.1"/>
    <n v="90000"/>
    <n v="63000"/>
    <n v="27000"/>
  </r>
  <r>
    <x v="176"/>
    <x v="141"/>
    <s v="Customer 177"/>
    <x v="3"/>
    <x v="3"/>
    <x v="1"/>
    <n v="6"/>
    <n v="1800"/>
    <n v="0.08"/>
    <n v="9936"/>
    <n v="7551.36"/>
    <n v="2384.6400000000003"/>
  </r>
  <r>
    <x v="177"/>
    <x v="112"/>
    <s v="Customer 178"/>
    <x v="1"/>
    <x v="1"/>
    <x v="5"/>
    <n v="8"/>
    <n v="250"/>
    <n v="0"/>
    <n v="2000"/>
    <n v="1440"/>
    <n v="560"/>
  </r>
  <r>
    <x v="178"/>
    <x v="43"/>
    <s v="Customer 179"/>
    <x v="0"/>
    <x v="1"/>
    <x v="0"/>
    <n v="10"/>
    <n v="65000"/>
    <n v="0.02"/>
    <n v="637000"/>
    <n v="407680"/>
    <n v="229320"/>
  </r>
  <r>
    <x v="179"/>
    <x v="143"/>
    <s v="Customer 180"/>
    <x v="2"/>
    <x v="1"/>
    <x v="0"/>
    <n v="6"/>
    <n v="65000"/>
    <n v="0"/>
    <n v="390000"/>
    <n v="312000"/>
    <n v="78000"/>
  </r>
  <r>
    <x v="180"/>
    <x v="144"/>
    <s v="Customer 181"/>
    <x v="2"/>
    <x v="1"/>
    <x v="0"/>
    <n v="7"/>
    <n v="65000"/>
    <n v="0.08"/>
    <n v="418600"/>
    <n v="251160"/>
    <n v="167440"/>
  </r>
  <r>
    <x v="181"/>
    <x v="102"/>
    <s v="Customer 182"/>
    <x v="0"/>
    <x v="2"/>
    <x v="4"/>
    <n v="9"/>
    <n v="15000"/>
    <n v="0.08"/>
    <n v="124200"/>
    <n v="75762"/>
    <n v="48438"/>
  </r>
  <r>
    <x v="182"/>
    <x v="46"/>
    <s v="Customer 183"/>
    <x v="0"/>
    <x v="2"/>
    <x v="5"/>
    <n v="2"/>
    <n v="250"/>
    <n v="0.02"/>
    <n v="490"/>
    <n v="377.3"/>
    <n v="112.69999999999999"/>
  </r>
  <r>
    <x v="183"/>
    <x v="68"/>
    <s v="Customer 184"/>
    <x v="2"/>
    <x v="3"/>
    <x v="4"/>
    <n v="1"/>
    <n v="15000"/>
    <n v="0.02"/>
    <n v="14700"/>
    <n v="10731"/>
    <n v="3969"/>
  </r>
  <r>
    <x v="184"/>
    <x v="145"/>
    <s v="Customer 185"/>
    <x v="3"/>
    <x v="0"/>
    <x v="2"/>
    <n v="8"/>
    <n v="2200"/>
    <n v="0.05"/>
    <n v="16720"/>
    <n v="11035.2"/>
    <n v="5684.7999999999993"/>
  </r>
  <r>
    <x v="185"/>
    <x v="41"/>
    <s v="Customer 186"/>
    <x v="1"/>
    <x v="0"/>
    <x v="3"/>
    <n v="9"/>
    <n v="18000"/>
    <n v="0.15"/>
    <n v="137700"/>
    <n v="110160"/>
    <n v="27540"/>
  </r>
  <r>
    <x v="186"/>
    <x v="4"/>
    <s v="Customer 187"/>
    <x v="2"/>
    <x v="2"/>
    <x v="8"/>
    <n v="8"/>
    <n v="28000"/>
    <n v="0.15"/>
    <n v="190400"/>
    <n v="138992"/>
    <n v="51408"/>
  </r>
  <r>
    <x v="187"/>
    <x v="146"/>
    <s v="Customer 188"/>
    <x v="0"/>
    <x v="1"/>
    <x v="8"/>
    <n v="6"/>
    <n v="28000"/>
    <n v="0"/>
    <n v="168000"/>
    <n v="119280"/>
    <n v="48720"/>
  </r>
  <r>
    <x v="188"/>
    <x v="13"/>
    <s v="Customer 189"/>
    <x v="1"/>
    <x v="0"/>
    <x v="5"/>
    <n v="7"/>
    <n v="250"/>
    <n v="0"/>
    <n v="1750"/>
    <n v="1295"/>
    <n v="455"/>
  </r>
  <r>
    <x v="189"/>
    <x v="147"/>
    <s v="Customer 190"/>
    <x v="1"/>
    <x v="0"/>
    <x v="6"/>
    <n v="5"/>
    <n v="12500"/>
    <n v="0"/>
    <n v="62500"/>
    <n v="49375"/>
    <n v="13125"/>
  </r>
  <r>
    <x v="190"/>
    <x v="148"/>
    <s v="Customer 191"/>
    <x v="3"/>
    <x v="0"/>
    <x v="1"/>
    <n v="4"/>
    <n v="1800"/>
    <n v="0"/>
    <n v="7200"/>
    <n v="4536"/>
    <n v="2664"/>
  </r>
  <r>
    <x v="191"/>
    <x v="93"/>
    <s v="Customer 192"/>
    <x v="2"/>
    <x v="1"/>
    <x v="1"/>
    <n v="8"/>
    <n v="1800"/>
    <n v="0.02"/>
    <n v="14112"/>
    <n v="10160.64"/>
    <n v="3951.3600000000006"/>
  </r>
  <r>
    <x v="192"/>
    <x v="149"/>
    <s v="Customer 193"/>
    <x v="3"/>
    <x v="0"/>
    <x v="0"/>
    <n v="5"/>
    <n v="65000"/>
    <n v="0.1"/>
    <n v="292500"/>
    <n v="178425"/>
    <n v="114075"/>
  </r>
  <r>
    <x v="193"/>
    <x v="16"/>
    <s v="Customer 194"/>
    <x v="3"/>
    <x v="0"/>
    <x v="7"/>
    <n v="9"/>
    <n v="4500"/>
    <n v="0.1"/>
    <n v="36450"/>
    <n v="27337.5"/>
    <n v="9112.5"/>
  </r>
  <r>
    <x v="194"/>
    <x v="150"/>
    <s v="Customer 195"/>
    <x v="3"/>
    <x v="2"/>
    <x v="9"/>
    <n v="4"/>
    <n v="9500"/>
    <n v="0.02"/>
    <n v="37240"/>
    <n v="22716.400000000001"/>
    <n v="14523.599999999999"/>
  </r>
  <r>
    <x v="195"/>
    <x v="68"/>
    <s v="Customer 196"/>
    <x v="3"/>
    <x v="0"/>
    <x v="0"/>
    <n v="3"/>
    <n v="65000"/>
    <n v="0.1"/>
    <n v="175500"/>
    <n v="110565"/>
    <n v="64935"/>
  </r>
  <r>
    <x v="196"/>
    <x v="151"/>
    <s v="Customer 197"/>
    <x v="2"/>
    <x v="3"/>
    <x v="2"/>
    <n v="3"/>
    <n v="2200"/>
    <n v="0.15"/>
    <n v="5610"/>
    <n v="3646.5"/>
    <n v="1963.5"/>
  </r>
  <r>
    <x v="197"/>
    <x v="152"/>
    <s v="Customer 198"/>
    <x v="3"/>
    <x v="2"/>
    <x v="2"/>
    <n v="9"/>
    <n v="2200"/>
    <n v="0.02"/>
    <n v="19404"/>
    <n v="15523.2"/>
    <n v="3880.7999999999993"/>
  </r>
  <r>
    <x v="198"/>
    <x v="153"/>
    <s v="Customer 199"/>
    <x v="1"/>
    <x v="2"/>
    <x v="6"/>
    <n v="7"/>
    <n v="12500"/>
    <n v="0"/>
    <n v="87500"/>
    <n v="68250"/>
    <n v="19250"/>
  </r>
  <r>
    <x v="199"/>
    <x v="25"/>
    <s v="Customer 200"/>
    <x v="2"/>
    <x v="1"/>
    <x v="8"/>
    <n v="9"/>
    <n v="28000"/>
    <n v="0.15"/>
    <n v="214200"/>
    <n v="171360"/>
    <n v="42840"/>
  </r>
  <r>
    <x v="200"/>
    <x v="154"/>
    <s v="Customer 201"/>
    <x v="0"/>
    <x v="0"/>
    <x v="5"/>
    <n v="2"/>
    <n v="250"/>
    <n v="0.1"/>
    <n v="450"/>
    <n v="355.5"/>
    <n v="94.5"/>
  </r>
  <r>
    <x v="201"/>
    <x v="22"/>
    <s v="Customer 202"/>
    <x v="2"/>
    <x v="2"/>
    <x v="5"/>
    <n v="1"/>
    <n v="250"/>
    <n v="0.08"/>
    <n v="230"/>
    <n v="163.30000000000001"/>
    <n v="66.699999999999989"/>
  </r>
  <r>
    <x v="202"/>
    <x v="155"/>
    <s v="Customer 203"/>
    <x v="3"/>
    <x v="3"/>
    <x v="1"/>
    <n v="1"/>
    <n v="1800"/>
    <n v="0.02"/>
    <n v="1764"/>
    <n v="1234.8"/>
    <n v="529.20000000000005"/>
  </r>
  <r>
    <x v="203"/>
    <x v="107"/>
    <s v="Customer 204"/>
    <x v="2"/>
    <x v="1"/>
    <x v="1"/>
    <n v="6"/>
    <n v="1800"/>
    <n v="0.08"/>
    <n v="9936"/>
    <n v="6557.76"/>
    <n v="3378.24"/>
  </r>
  <r>
    <x v="204"/>
    <x v="109"/>
    <s v="Customer 205"/>
    <x v="3"/>
    <x v="1"/>
    <x v="7"/>
    <n v="2"/>
    <n v="4500"/>
    <n v="0.05"/>
    <n v="8550"/>
    <n v="6156"/>
    <n v="2394"/>
  </r>
  <r>
    <x v="205"/>
    <x v="21"/>
    <s v="Customer 206"/>
    <x v="2"/>
    <x v="1"/>
    <x v="6"/>
    <n v="6"/>
    <n v="12500"/>
    <n v="0.15"/>
    <n v="63750"/>
    <n v="40800"/>
    <n v="22950"/>
  </r>
  <r>
    <x v="206"/>
    <x v="156"/>
    <s v="Customer 207"/>
    <x v="3"/>
    <x v="2"/>
    <x v="5"/>
    <n v="8"/>
    <n v="250"/>
    <n v="0.02"/>
    <n v="1960"/>
    <n v="1332.8"/>
    <n v="627.20000000000005"/>
  </r>
  <r>
    <x v="207"/>
    <x v="124"/>
    <s v="Customer 208"/>
    <x v="3"/>
    <x v="0"/>
    <x v="4"/>
    <n v="9"/>
    <n v="15000"/>
    <n v="0.15"/>
    <n v="114750"/>
    <n v="69997.5"/>
    <n v="44752.5"/>
  </r>
  <r>
    <x v="208"/>
    <x v="157"/>
    <s v="Customer 209"/>
    <x v="2"/>
    <x v="0"/>
    <x v="9"/>
    <n v="5"/>
    <n v="9500"/>
    <n v="0.05"/>
    <n v="45125"/>
    <n v="35197.5"/>
    <n v="9927.5"/>
  </r>
  <r>
    <x v="209"/>
    <x v="148"/>
    <s v="Customer 210"/>
    <x v="2"/>
    <x v="2"/>
    <x v="5"/>
    <n v="3"/>
    <n v="250"/>
    <n v="0.15"/>
    <n v="637.5"/>
    <n v="433.5"/>
    <n v="204"/>
  </r>
  <r>
    <x v="210"/>
    <x v="158"/>
    <s v="Customer 211"/>
    <x v="2"/>
    <x v="3"/>
    <x v="6"/>
    <n v="5"/>
    <n v="12500"/>
    <n v="0"/>
    <n v="62500"/>
    <n v="47500"/>
    <n v="15000"/>
  </r>
  <r>
    <x v="211"/>
    <x v="159"/>
    <s v="Customer 212"/>
    <x v="3"/>
    <x v="2"/>
    <x v="5"/>
    <n v="1"/>
    <n v="250"/>
    <n v="0.15"/>
    <n v="212.5"/>
    <n v="163.625"/>
    <n v="48.875"/>
  </r>
  <r>
    <x v="212"/>
    <x v="71"/>
    <s v="Customer 213"/>
    <x v="3"/>
    <x v="2"/>
    <x v="2"/>
    <n v="4"/>
    <n v="2200"/>
    <n v="0.02"/>
    <n v="8624"/>
    <n v="6554.24"/>
    <n v="2069.7600000000002"/>
  </r>
  <r>
    <x v="213"/>
    <x v="74"/>
    <s v="Customer 214"/>
    <x v="0"/>
    <x v="3"/>
    <x v="6"/>
    <n v="3"/>
    <n v="12500"/>
    <n v="0.15"/>
    <n v="31875"/>
    <n v="19762.5"/>
    <n v="12112.5"/>
  </r>
  <r>
    <x v="214"/>
    <x v="160"/>
    <s v="Customer 215"/>
    <x v="2"/>
    <x v="2"/>
    <x v="4"/>
    <n v="1"/>
    <n v="15000"/>
    <n v="0.05"/>
    <n v="14250"/>
    <n v="9262.5"/>
    <n v="4987.5"/>
  </r>
  <r>
    <x v="215"/>
    <x v="161"/>
    <s v="Customer 216"/>
    <x v="0"/>
    <x v="1"/>
    <x v="6"/>
    <n v="5"/>
    <n v="12500"/>
    <n v="0.15"/>
    <n v="53125"/>
    <n v="35593.75"/>
    <n v="17531.25"/>
  </r>
  <r>
    <x v="216"/>
    <x v="162"/>
    <s v="Customer 217"/>
    <x v="2"/>
    <x v="3"/>
    <x v="0"/>
    <n v="3"/>
    <n v="65000"/>
    <n v="0"/>
    <n v="195000"/>
    <n v="122850"/>
    <n v="72150"/>
  </r>
  <r>
    <x v="217"/>
    <x v="163"/>
    <s v="Customer 218"/>
    <x v="2"/>
    <x v="0"/>
    <x v="7"/>
    <n v="2"/>
    <n v="4500"/>
    <n v="0.1"/>
    <n v="8100"/>
    <n v="6399"/>
    <n v="1701"/>
  </r>
  <r>
    <x v="218"/>
    <x v="164"/>
    <s v="Customer 219"/>
    <x v="2"/>
    <x v="1"/>
    <x v="7"/>
    <n v="10"/>
    <n v="4500"/>
    <n v="0.08"/>
    <n v="41400"/>
    <n v="32292"/>
    <n v="9108"/>
  </r>
  <r>
    <x v="219"/>
    <x v="10"/>
    <s v="Customer 220"/>
    <x v="2"/>
    <x v="3"/>
    <x v="0"/>
    <n v="10"/>
    <n v="65000"/>
    <n v="0.08"/>
    <n v="598000"/>
    <n v="430560"/>
    <n v="167440"/>
  </r>
  <r>
    <x v="220"/>
    <x v="154"/>
    <s v="Customer 221"/>
    <x v="1"/>
    <x v="2"/>
    <x v="5"/>
    <n v="8"/>
    <n v="250"/>
    <n v="0"/>
    <n v="2000"/>
    <n v="1400"/>
    <n v="600"/>
  </r>
  <r>
    <x v="221"/>
    <x v="165"/>
    <s v="Customer 222"/>
    <x v="3"/>
    <x v="0"/>
    <x v="1"/>
    <n v="7"/>
    <n v="1800"/>
    <n v="0.08"/>
    <n v="11592"/>
    <n v="7998.48"/>
    <n v="3593.5200000000004"/>
  </r>
  <r>
    <x v="222"/>
    <x v="166"/>
    <s v="Customer 223"/>
    <x v="3"/>
    <x v="1"/>
    <x v="6"/>
    <n v="9"/>
    <n v="12500"/>
    <n v="0.1"/>
    <n v="101250"/>
    <n v="62775"/>
    <n v="38475"/>
  </r>
  <r>
    <x v="223"/>
    <x v="11"/>
    <s v="Customer 224"/>
    <x v="0"/>
    <x v="1"/>
    <x v="6"/>
    <n v="6"/>
    <n v="12500"/>
    <n v="0.15"/>
    <n v="63750"/>
    <n v="39525"/>
    <n v="24225"/>
  </r>
  <r>
    <x v="224"/>
    <x v="86"/>
    <s v="Customer 225"/>
    <x v="2"/>
    <x v="0"/>
    <x v="8"/>
    <n v="9"/>
    <n v="28000"/>
    <n v="0.02"/>
    <n v="246960"/>
    <n v="153115.20000000001"/>
    <n v="93844.799999999988"/>
  </r>
  <r>
    <x v="225"/>
    <x v="55"/>
    <s v="Customer 226"/>
    <x v="0"/>
    <x v="1"/>
    <x v="6"/>
    <n v="7"/>
    <n v="12500"/>
    <n v="0.05"/>
    <n v="83125"/>
    <n v="64006.25"/>
    <n v="19118.75"/>
  </r>
  <r>
    <x v="226"/>
    <x v="167"/>
    <s v="Customer 227"/>
    <x v="2"/>
    <x v="0"/>
    <x v="7"/>
    <n v="8"/>
    <n v="4500"/>
    <n v="0.08"/>
    <n v="33120"/>
    <n v="21196.799999999999"/>
    <n v="11923.2"/>
  </r>
  <r>
    <x v="227"/>
    <x v="148"/>
    <s v="Customer 228"/>
    <x v="1"/>
    <x v="3"/>
    <x v="2"/>
    <n v="4"/>
    <n v="2200"/>
    <n v="0.1"/>
    <n v="7920"/>
    <n v="5781.6"/>
    <n v="2138.3999999999996"/>
  </r>
  <r>
    <x v="228"/>
    <x v="99"/>
    <s v="Customer 229"/>
    <x v="1"/>
    <x v="2"/>
    <x v="2"/>
    <n v="6"/>
    <n v="2200"/>
    <n v="0.08"/>
    <n v="12144"/>
    <n v="8136.48"/>
    <n v="4007.5200000000004"/>
  </r>
  <r>
    <x v="229"/>
    <x v="63"/>
    <s v="Customer 230"/>
    <x v="2"/>
    <x v="3"/>
    <x v="5"/>
    <n v="2"/>
    <n v="250"/>
    <n v="0"/>
    <n v="500"/>
    <n v="385"/>
    <n v="115"/>
  </r>
  <r>
    <x v="230"/>
    <x v="116"/>
    <s v="Customer 231"/>
    <x v="2"/>
    <x v="0"/>
    <x v="3"/>
    <n v="4"/>
    <n v="18000"/>
    <n v="0"/>
    <n v="72000"/>
    <n v="56880"/>
    <n v="15120"/>
  </r>
  <r>
    <x v="231"/>
    <x v="148"/>
    <s v="Customer 232"/>
    <x v="3"/>
    <x v="1"/>
    <x v="5"/>
    <n v="10"/>
    <n v="250"/>
    <n v="0.15"/>
    <n v="2125"/>
    <n v="1593.75"/>
    <n v="531.25"/>
  </r>
  <r>
    <x v="232"/>
    <x v="168"/>
    <s v="Customer 233"/>
    <x v="3"/>
    <x v="2"/>
    <x v="2"/>
    <n v="9"/>
    <n v="2200"/>
    <n v="0.05"/>
    <n v="18810"/>
    <n v="14107.5"/>
    <n v="4702.5"/>
  </r>
  <r>
    <x v="233"/>
    <x v="169"/>
    <s v="Customer 234"/>
    <x v="1"/>
    <x v="3"/>
    <x v="3"/>
    <n v="5"/>
    <n v="18000"/>
    <n v="0.15"/>
    <n v="76500"/>
    <n v="53550"/>
    <n v="22950"/>
  </r>
  <r>
    <x v="234"/>
    <x v="168"/>
    <s v="Customer 235"/>
    <x v="3"/>
    <x v="3"/>
    <x v="3"/>
    <n v="8"/>
    <n v="18000"/>
    <n v="0.02"/>
    <n v="141120"/>
    <n v="90316.800000000003"/>
    <n v="50803.199999999997"/>
  </r>
  <r>
    <x v="235"/>
    <x v="170"/>
    <s v="Customer 236"/>
    <x v="2"/>
    <x v="1"/>
    <x v="8"/>
    <n v="5"/>
    <n v="28000"/>
    <n v="0.08"/>
    <n v="128800"/>
    <n v="82432"/>
    <n v="46368"/>
  </r>
  <r>
    <x v="236"/>
    <x v="38"/>
    <s v="Customer 237"/>
    <x v="3"/>
    <x v="3"/>
    <x v="2"/>
    <n v="7"/>
    <n v="2200"/>
    <n v="0.08"/>
    <n v="14168"/>
    <n v="10200.959999999999"/>
    <n v="3967.0400000000009"/>
  </r>
  <r>
    <x v="237"/>
    <x v="171"/>
    <s v="Customer 238"/>
    <x v="3"/>
    <x v="2"/>
    <x v="1"/>
    <n v="3"/>
    <n v="1800"/>
    <n v="0.08"/>
    <n v="4968"/>
    <n v="3974.4"/>
    <n v="993.59999999999991"/>
  </r>
  <r>
    <x v="238"/>
    <x v="172"/>
    <s v="Customer 239"/>
    <x v="1"/>
    <x v="0"/>
    <x v="5"/>
    <n v="6"/>
    <n v="250"/>
    <n v="0.1"/>
    <n v="1350"/>
    <n v="1039.5"/>
    <n v="310.5"/>
  </r>
  <r>
    <x v="239"/>
    <x v="173"/>
    <s v="Customer 240"/>
    <x v="3"/>
    <x v="1"/>
    <x v="0"/>
    <n v="9"/>
    <n v="65000"/>
    <n v="0"/>
    <n v="585000"/>
    <n v="351000"/>
    <n v="234000"/>
  </r>
  <r>
    <x v="240"/>
    <x v="21"/>
    <s v="Customer 241"/>
    <x v="0"/>
    <x v="1"/>
    <x v="9"/>
    <n v="2"/>
    <n v="9500"/>
    <n v="0.05"/>
    <n v="18050"/>
    <n v="13718"/>
    <n v="4332"/>
  </r>
  <r>
    <x v="241"/>
    <x v="174"/>
    <s v="Customer 242"/>
    <x v="0"/>
    <x v="1"/>
    <x v="4"/>
    <n v="3"/>
    <n v="15000"/>
    <n v="0"/>
    <n v="45000"/>
    <n v="27900"/>
    <n v="17100"/>
  </r>
  <r>
    <x v="242"/>
    <x v="175"/>
    <s v="Customer 243"/>
    <x v="2"/>
    <x v="0"/>
    <x v="1"/>
    <n v="2"/>
    <n v="1800"/>
    <n v="0.1"/>
    <n v="3240"/>
    <n v="2527.1999999999998"/>
    <n v="712.80000000000018"/>
  </r>
  <r>
    <x v="243"/>
    <x v="176"/>
    <s v="Customer 244"/>
    <x v="3"/>
    <x v="1"/>
    <x v="6"/>
    <n v="10"/>
    <n v="12500"/>
    <n v="0.15"/>
    <n v="106250"/>
    <n v="78625"/>
    <n v="27625"/>
  </r>
  <r>
    <x v="244"/>
    <x v="177"/>
    <s v="Customer 245"/>
    <x v="2"/>
    <x v="1"/>
    <x v="7"/>
    <n v="3"/>
    <n v="4500"/>
    <n v="0.05"/>
    <n v="12825"/>
    <n v="8849.25"/>
    <n v="3975.75"/>
  </r>
  <r>
    <x v="245"/>
    <x v="178"/>
    <s v="Customer 246"/>
    <x v="2"/>
    <x v="0"/>
    <x v="3"/>
    <n v="3"/>
    <n v="18000"/>
    <n v="0.08"/>
    <n v="49680"/>
    <n v="34279.199999999997"/>
    <n v="15400.800000000003"/>
  </r>
  <r>
    <x v="246"/>
    <x v="140"/>
    <s v="Customer 247"/>
    <x v="2"/>
    <x v="0"/>
    <x v="7"/>
    <n v="3"/>
    <n v="4500"/>
    <n v="0.02"/>
    <n v="13230"/>
    <n v="9790.2000000000007"/>
    <n v="3439.7999999999993"/>
  </r>
  <r>
    <x v="247"/>
    <x v="178"/>
    <s v="Customer 248"/>
    <x v="0"/>
    <x v="0"/>
    <x v="5"/>
    <n v="2"/>
    <n v="250"/>
    <n v="0.02"/>
    <n v="490"/>
    <n v="367.5"/>
    <n v="122.5"/>
  </r>
  <r>
    <x v="248"/>
    <x v="179"/>
    <s v="Customer 249"/>
    <x v="0"/>
    <x v="3"/>
    <x v="0"/>
    <n v="5"/>
    <n v="65000"/>
    <n v="0.15"/>
    <n v="276250"/>
    <n v="171275"/>
    <n v="104975"/>
  </r>
  <r>
    <x v="249"/>
    <x v="40"/>
    <s v="Customer 250"/>
    <x v="1"/>
    <x v="0"/>
    <x v="2"/>
    <n v="10"/>
    <n v="2200"/>
    <n v="0"/>
    <n v="22000"/>
    <n v="13420"/>
    <n v="8580"/>
  </r>
  <r>
    <x v="250"/>
    <x v="180"/>
    <s v="Customer 251"/>
    <x v="0"/>
    <x v="0"/>
    <x v="0"/>
    <n v="8"/>
    <n v="65000"/>
    <n v="0.15"/>
    <n v="442000"/>
    <n v="296140"/>
    <n v="145860"/>
  </r>
  <r>
    <x v="251"/>
    <x v="47"/>
    <s v="Customer 252"/>
    <x v="1"/>
    <x v="3"/>
    <x v="8"/>
    <n v="2"/>
    <n v="28000"/>
    <n v="0.05"/>
    <n v="53200"/>
    <n v="38836"/>
    <n v="14364"/>
  </r>
  <r>
    <x v="252"/>
    <x v="181"/>
    <s v="Customer 253"/>
    <x v="1"/>
    <x v="1"/>
    <x v="1"/>
    <n v="1"/>
    <n v="1800"/>
    <n v="0.1"/>
    <n v="1620"/>
    <n v="1231.2"/>
    <n v="388.79999999999995"/>
  </r>
  <r>
    <x v="253"/>
    <x v="150"/>
    <s v="Customer 254"/>
    <x v="2"/>
    <x v="2"/>
    <x v="0"/>
    <n v="10"/>
    <n v="65000"/>
    <n v="0.1"/>
    <n v="585000"/>
    <n v="421200"/>
    <n v="163800"/>
  </r>
  <r>
    <x v="254"/>
    <x v="115"/>
    <s v="Customer 255"/>
    <x v="0"/>
    <x v="1"/>
    <x v="1"/>
    <n v="10"/>
    <n v="1800"/>
    <n v="0.08"/>
    <n v="16560"/>
    <n v="12585.6"/>
    <n v="3974.3999999999996"/>
  </r>
  <r>
    <x v="255"/>
    <x v="182"/>
    <s v="Customer 256"/>
    <x v="3"/>
    <x v="2"/>
    <x v="3"/>
    <n v="1"/>
    <n v="18000"/>
    <n v="0.15"/>
    <n v="15300"/>
    <n v="11934"/>
    <n v="3366"/>
  </r>
  <r>
    <x v="256"/>
    <x v="183"/>
    <s v="Customer 257"/>
    <x v="0"/>
    <x v="2"/>
    <x v="5"/>
    <n v="4"/>
    <n v="250"/>
    <n v="0.08"/>
    <n v="920"/>
    <n v="717.6"/>
    <n v="202.39999999999998"/>
  </r>
  <r>
    <x v="257"/>
    <x v="184"/>
    <s v="Customer 258"/>
    <x v="3"/>
    <x v="2"/>
    <x v="6"/>
    <n v="5"/>
    <n v="12500"/>
    <n v="0.1"/>
    <n v="56250"/>
    <n v="38250"/>
    <n v="18000"/>
  </r>
  <r>
    <x v="258"/>
    <x v="185"/>
    <s v="Customer 259"/>
    <x v="2"/>
    <x v="3"/>
    <x v="8"/>
    <n v="10"/>
    <n v="28000"/>
    <n v="0.1"/>
    <n v="252000"/>
    <n v="176400"/>
    <n v="75600"/>
  </r>
  <r>
    <x v="259"/>
    <x v="124"/>
    <s v="Customer 260"/>
    <x v="0"/>
    <x v="2"/>
    <x v="9"/>
    <n v="10"/>
    <n v="9500"/>
    <n v="0.08"/>
    <n v="87400"/>
    <n v="55062"/>
    <n v="32338"/>
  </r>
  <r>
    <x v="260"/>
    <x v="30"/>
    <s v="Customer 261"/>
    <x v="2"/>
    <x v="1"/>
    <x v="4"/>
    <n v="9"/>
    <n v="15000"/>
    <n v="0.08"/>
    <n v="124200"/>
    <n v="78246"/>
    <n v="45954"/>
  </r>
  <r>
    <x v="261"/>
    <x v="139"/>
    <s v="Customer 262"/>
    <x v="2"/>
    <x v="2"/>
    <x v="3"/>
    <n v="3"/>
    <n v="18000"/>
    <n v="0.02"/>
    <n v="52920"/>
    <n v="31752"/>
    <n v="21168"/>
  </r>
  <r>
    <x v="262"/>
    <x v="186"/>
    <s v="Customer 263"/>
    <x v="3"/>
    <x v="0"/>
    <x v="2"/>
    <n v="5"/>
    <n v="2200"/>
    <n v="0"/>
    <n v="11000"/>
    <n v="8250"/>
    <n v="2750"/>
  </r>
  <r>
    <x v="263"/>
    <x v="187"/>
    <s v="Customer 264"/>
    <x v="1"/>
    <x v="1"/>
    <x v="5"/>
    <n v="3"/>
    <n v="250"/>
    <n v="0.08"/>
    <n v="690"/>
    <n v="427.8"/>
    <n v="262.2"/>
  </r>
  <r>
    <x v="264"/>
    <x v="188"/>
    <s v="Customer 265"/>
    <x v="2"/>
    <x v="3"/>
    <x v="6"/>
    <n v="9"/>
    <n v="12500"/>
    <n v="0.15"/>
    <n v="95625"/>
    <n v="74587.5"/>
    <n v="21037.5"/>
  </r>
  <r>
    <x v="265"/>
    <x v="189"/>
    <s v="Customer 266"/>
    <x v="2"/>
    <x v="3"/>
    <x v="9"/>
    <n v="1"/>
    <n v="9500"/>
    <n v="0.1"/>
    <n v="8550"/>
    <n v="5899.5"/>
    <n v="2650.5"/>
  </r>
  <r>
    <x v="266"/>
    <x v="164"/>
    <s v="Customer 267"/>
    <x v="3"/>
    <x v="2"/>
    <x v="7"/>
    <n v="4"/>
    <n v="4500"/>
    <n v="0"/>
    <n v="18000"/>
    <n v="12600"/>
    <n v="5400"/>
  </r>
  <r>
    <x v="267"/>
    <x v="86"/>
    <s v="Customer 268"/>
    <x v="1"/>
    <x v="1"/>
    <x v="1"/>
    <n v="2"/>
    <n v="1800"/>
    <n v="0"/>
    <n v="3600"/>
    <n v="2664"/>
    <n v="936"/>
  </r>
  <r>
    <x v="268"/>
    <x v="190"/>
    <s v="Customer 269"/>
    <x v="3"/>
    <x v="0"/>
    <x v="0"/>
    <n v="1"/>
    <n v="65000"/>
    <n v="0.02"/>
    <n v="63700"/>
    <n v="49049"/>
    <n v="14651"/>
  </r>
  <r>
    <x v="269"/>
    <x v="191"/>
    <s v="Customer 270"/>
    <x v="0"/>
    <x v="0"/>
    <x v="4"/>
    <n v="2"/>
    <n v="15000"/>
    <n v="0"/>
    <n v="30000"/>
    <n v="19800"/>
    <n v="10200"/>
  </r>
  <r>
    <x v="270"/>
    <x v="121"/>
    <s v="Customer 271"/>
    <x v="1"/>
    <x v="0"/>
    <x v="3"/>
    <n v="7"/>
    <n v="18000"/>
    <n v="0.05"/>
    <n v="119700"/>
    <n v="82593"/>
    <n v="37107"/>
  </r>
  <r>
    <x v="271"/>
    <x v="192"/>
    <s v="Customer 272"/>
    <x v="3"/>
    <x v="0"/>
    <x v="1"/>
    <n v="7"/>
    <n v="1800"/>
    <n v="0.08"/>
    <n v="11592"/>
    <n v="8346.24"/>
    <n v="3245.76"/>
  </r>
  <r>
    <x v="272"/>
    <x v="193"/>
    <s v="Customer 273"/>
    <x v="0"/>
    <x v="1"/>
    <x v="0"/>
    <n v="3"/>
    <n v="65000"/>
    <n v="0.15"/>
    <n v="165750"/>
    <n v="130942.5"/>
    <n v="34807.5"/>
  </r>
  <r>
    <x v="273"/>
    <x v="194"/>
    <s v="Customer 274"/>
    <x v="1"/>
    <x v="2"/>
    <x v="0"/>
    <n v="1"/>
    <n v="65000"/>
    <n v="0.1"/>
    <n v="58500"/>
    <n v="42705"/>
    <n v="15795"/>
  </r>
  <r>
    <x v="274"/>
    <x v="84"/>
    <s v="Customer 275"/>
    <x v="0"/>
    <x v="2"/>
    <x v="4"/>
    <n v="10"/>
    <n v="15000"/>
    <n v="0.15"/>
    <n v="127500"/>
    <n v="89250"/>
    <n v="38250"/>
  </r>
  <r>
    <x v="275"/>
    <x v="24"/>
    <s v="Customer 276"/>
    <x v="0"/>
    <x v="0"/>
    <x v="3"/>
    <n v="3"/>
    <n v="18000"/>
    <n v="0.02"/>
    <n v="52920"/>
    <n v="32810.400000000001"/>
    <n v="20109.599999999999"/>
  </r>
  <r>
    <x v="276"/>
    <x v="107"/>
    <s v="Customer 277"/>
    <x v="2"/>
    <x v="1"/>
    <x v="4"/>
    <n v="2"/>
    <n v="15000"/>
    <n v="0"/>
    <n v="30000"/>
    <n v="19200"/>
    <n v="10800"/>
  </r>
  <r>
    <x v="277"/>
    <x v="64"/>
    <s v="Customer 278"/>
    <x v="1"/>
    <x v="0"/>
    <x v="4"/>
    <n v="10"/>
    <n v="15000"/>
    <n v="0.08"/>
    <n v="138000"/>
    <n v="84180"/>
    <n v="53820"/>
  </r>
  <r>
    <x v="278"/>
    <x v="101"/>
    <s v="Customer 279"/>
    <x v="3"/>
    <x v="2"/>
    <x v="0"/>
    <n v="7"/>
    <n v="65000"/>
    <n v="0.08"/>
    <n v="418600"/>
    <n v="297206"/>
    <n v="121394"/>
  </r>
  <r>
    <x v="279"/>
    <x v="50"/>
    <s v="Customer 280"/>
    <x v="1"/>
    <x v="0"/>
    <x v="4"/>
    <n v="4"/>
    <n v="15000"/>
    <n v="0.08"/>
    <n v="55200"/>
    <n v="34224"/>
    <n v="20976"/>
  </r>
  <r>
    <x v="280"/>
    <x v="192"/>
    <s v="Customer 281"/>
    <x v="3"/>
    <x v="1"/>
    <x v="9"/>
    <n v="9"/>
    <n v="9500"/>
    <n v="0"/>
    <n v="85500"/>
    <n v="64980"/>
    <n v="20520"/>
  </r>
  <r>
    <x v="281"/>
    <x v="195"/>
    <s v="Customer 282"/>
    <x v="2"/>
    <x v="1"/>
    <x v="5"/>
    <n v="6"/>
    <n v="250"/>
    <n v="0.1"/>
    <n v="1350"/>
    <n v="1053"/>
    <n v="297"/>
  </r>
  <r>
    <x v="282"/>
    <x v="196"/>
    <s v="Customer 283"/>
    <x v="3"/>
    <x v="3"/>
    <x v="8"/>
    <n v="1"/>
    <n v="28000"/>
    <n v="0.05"/>
    <n v="26600"/>
    <n v="19684"/>
    <n v="6916"/>
  </r>
  <r>
    <x v="283"/>
    <x v="197"/>
    <s v="Customer 284"/>
    <x v="2"/>
    <x v="2"/>
    <x v="4"/>
    <n v="8"/>
    <n v="15000"/>
    <n v="0.05"/>
    <n v="114000"/>
    <n v="79800"/>
    <n v="34200"/>
  </r>
  <r>
    <x v="284"/>
    <x v="73"/>
    <s v="Customer 285"/>
    <x v="0"/>
    <x v="2"/>
    <x v="9"/>
    <n v="2"/>
    <n v="9500"/>
    <n v="0.08"/>
    <n v="17480"/>
    <n v="11187.2"/>
    <n v="6292.7999999999993"/>
  </r>
  <r>
    <x v="285"/>
    <x v="198"/>
    <s v="Customer 286"/>
    <x v="2"/>
    <x v="1"/>
    <x v="5"/>
    <n v="7"/>
    <n v="250"/>
    <n v="0.05"/>
    <n v="1662.5"/>
    <n v="1263.5"/>
    <n v="399"/>
  </r>
  <r>
    <x v="286"/>
    <x v="199"/>
    <s v="Customer 287"/>
    <x v="2"/>
    <x v="0"/>
    <x v="1"/>
    <n v="4"/>
    <n v="1800"/>
    <n v="0.15"/>
    <n v="6120"/>
    <n v="4100.3999999999996"/>
    <n v="2019.6000000000004"/>
  </r>
  <r>
    <x v="287"/>
    <x v="200"/>
    <s v="Customer 288"/>
    <x v="3"/>
    <x v="3"/>
    <x v="3"/>
    <n v="2"/>
    <n v="18000"/>
    <n v="0"/>
    <n v="36000"/>
    <n v="21960"/>
    <n v="14040"/>
  </r>
  <r>
    <x v="288"/>
    <x v="198"/>
    <s v="Customer 289"/>
    <x v="3"/>
    <x v="2"/>
    <x v="1"/>
    <n v="6"/>
    <n v="1800"/>
    <n v="0.02"/>
    <n v="10584"/>
    <n v="7726.32"/>
    <n v="2857.6800000000003"/>
  </r>
  <r>
    <x v="289"/>
    <x v="201"/>
    <s v="Customer 290"/>
    <x v="3"/>
    <x v="1"/>
    <x v="7"/>
    <n v="5"/>
    <n v="4500"/>
    <n v="0.08"/>
    <n v="20700"/>
    <n v="13248"/>
    <n v="7452"/>
  </r>
  <r>
    <x v="290"/>
    <x v="82"/>
    <s v="Customer 291"/>
    <x v="1"/>
    <x v="3"/>
    <x v="6"/>
    <n v="2"/>
    <n v="12500"/>
    <n v="0.1"/>
    <n v="22500"/>
    <n v="14850"/>
    <n v="7650"/>
  </r>
  <r>
    <x v="291"/>
    <x v="202"/>
    <s v="Customer 292"/>
    <x v="1"/>
    <x v="3"/>
    <x v="4"/>
    <n v="3"/>
    <n v="15000"/>
    <n v="0.08"/>
    <n v="41400"/>
    <n v="28152"/>
    <n v="13248"/>
  </r>
  <r>
    <x v="292"/>
    <x v="146"/>
    <s v="Customer 293"/>
    <x v="0"/>
    <x v="0"/>
    <x v="0"/>
    <n v="5"/>
    <n v="65000"/>
    <n v="0.1"/>
    <n v="292500"/>
    <n v="193050"/>
    <n v="99450"/>
  </r>
  <r>
    <x v="293"/>
    <x v="0"/>
    <s v="Customer 294"/>
    <x v="3"/>
    <x v="2"/>
    <x v="0"/>
    <n v="6"/>
    <n v="65000"/>
    <n v="0.1"/>
    <n v="351000"/>
    <n v="235170"/>
    <n v="115830"/>
  </r>
  <r>
    <x v="294"/>
    <x v="131"/>
    <s v="Customer 295"/>
    <x v="0"/>
    <x v="2"/>
    <x v="6"/>
    <n v="5"/>
    <n v="12500"/>
    <n v="0.08"/>
    <n v="57500"/>
    <n v="36800"/>
    <n v="20700"/>
  </r>
  <r>
    <x v="295"/>
    <x v="203"/>
    <s v="Customer 296"/>
    <x v="3"/>
    <x v="3"/>
    <x v="0"/>
    <n v="5"/>
    <n v="65000"/>
    <n v="0.02"/>
    <n v="318500"/>
    <n v="191100"/>
    <n v="127400"/>
  </r>
  <r>
    <x v="296"/>
    <x v="204"/>
    <s v="Customer 297"/>
    <x v="2"/>
    <x v="3"/>
    <x v="3"/>
    <n v="2"/>
    <n v="18000"/>
    <n v="0.1"/>
    <n v="32400"/>
    <n v="22032"/>
    <n v="10368"/>
  </r>
  <r>
    <x v="297"/>
    <x v="205"/>
    <s v="Customer 298"/>
    <x v="0"/>
    <x v="3"/>
    <x v="2"/>
    <n v="7"/>
    <n v="2200"/>
    <n v="0.08"/>
    <n v="14168"/>
    <n v="11192.72"/>
    <n v="2975.2800000000007"/>
  </r>
  <r>
    <x v="298"/>
    <x v="1"/>
    <s v="Customer 299"/>
    <x v="3"/>
    <x v="0"/>
    <x v="2"/>
    <n v="4"/>
    <n v="2200"/>
    <n v="0.1"/>
    <n v="7920"/>
    <n v="5623.2"/>
    <n v="2296.8000000000002"/>
  </r>
  <r>
    <x v="299"/>
    <x v="206"/>
    <s v="Customer 300"/>
    <x v="0"/>
    <x v="2"/>
    <x v="8"/>
    <n v="9"/>
    <n v="28000"/>
    <n v="0"/>
    <n v="252000"/>
    <n v="194040"/>
    <n v="57960"/>
  </r>
  <r>
    <x v="300"/>
    <x v="128"/>
    <s v="Customer 301"/>
    <x v="3"/>
    <x v="0"/>
    <x v="2"/>
    <n v="4"/>
    <n v="2200"/>
    <n v="0.1"/>
    <n v="7920"/>
    <n v="6098.4"/>
    <n v="1821.6000000000004"/>
  </r>
  <r>
    <x v="301"/>
    <x v="114"/>
    <s v="Customer 302"/>
    <x v="3"/>
    <x v="2"/>
    <x v="1"/>
    <n v="5"/>
    <n v="1800"/>
    <n v="0.02"/>
    <n v="8820"/>
    <n v="5468.4"/>
    <n v="3351.6000000000004"/>
  </r>
  <r>
    <x v="302"/>
    <x v="207"/>
    <s v="Customer 303"/>
    <x v="0"/>
    <x v="2"/>
    <x v="4"/>
    <n v="9"/>
    <n v="15000"/>
    <n v="0.15"/>
    <n v="114750"/>
    <n v="82620"/>
    <n v="32130"/>
  </r>
  <r>
    <x v="303"/>
    <x v="3"/>
    <s v="Customer 304"/>
    <x v="3"/>
    <x v="1"/>
    <x v="3"/>
    <n v="3"/>
    <n v="18000"/>
    <n v="0.15"/>
    <n v="45900"/>
    <n v="30294"/>
    <n v="15606"/>
  </r>
  <r>
    <x v="304"/>
    <x v="182"/>
    <s v="Customer 305"/>
    <x v="1"/>
    <x v="0"/>
    <x v="0"/>
    <n v="10"/>
    <n v="65000"/>
    <n v="0.02"/>
    <n v="637000"/>
    <n v="388570"/>
    <n v="248430"/>
  </r>
  <r>
    <x v="305"/>
    <x v="25"/>
    <s v="Customer 306"/>
    <x v="2"/>
    <x v="1"/>
    <x v="8"/>
    <n v="10"/>
    <n v="28000"/>
    <n v="0.08"/>
    <n v="257600"/>
    <n v="162288"/>
    <n v="95312"/>
  </r>
  <r>
    <x v="306"/>
    <x v="196"/>
    <s v="Customer 307"/>
    <x v="0"/>
    <x v="1"/>
    <x v="0"/>
    <n v="2"/>
    <n v="65000"/>
    <n v="0.05"/>
    <n v="123500"/>
    <n v="96330"/>
    <n v="27170"/>
  </r>
  <r>
    <x v="307"/>
    <x v="208"/>
    <s v="Customer 308"/>
    <x v="2"/>
    <x v="3"/>
    <x v="8"/>
    <n v="9"/>
    <n v="28000"/>
    <n v="0.15"/>
    <n v="214200"/>
    <n v="128520"/>
    <n v="85680"/>
  </r>
  <r>
    <x v="308"/>
    <x v="160"/>
    <s v="Customer 309"/>
    <x v="2"/>
    <x v="3"/>
    <x v="9"/>
    <n v="2"/>
    <n v="9500"/>
    <n v="0"/>
    <n v="19000"/>
    <n v="11400"/>
    <n v="7600"/>
  </r>
  <r>
    <x v="309"/>
    <x v="25"/>
    <s v="Customer 310"/>
    <x v="0"/>
    <x v="2"/>
    <x v="6"/>
    <n v="1"/>
    <n v="12500"/>
    <n v="0.05"/>
    <n v="11875"/>
    <n v="7243.75"/>
    <n v="4631.25"/>
  </r>
  <r>
    <x v="310"/>
    <x v="9"/>
    <s v="Customer 311"/>
    <x v="2"/>
    <x v="3"/>
    <x v="6"/>
    <n v="4"/>
    <n v="12500"/>
    <n v="0"/>
    <n v="50000"/>
    <n v="32000"/>
    <n v="18000"/>
  </r>
  <r>
    <x v="311"/>
    <x v="209"/>
    <s v="Customer 312"/>
    <x v="2"/>
    <x v="0"/>
    <x v="3"/>
    <n v="5"/>
    <n v="18000"/>
    <n v="0"/>
    <n v="90000"/>
    <n v="57600"/>
    <n v="32400"/>
  </r>
  <r>
    <x v="312"/>
    <x v="100"/>
    <s v="Customer 313"/>
    <x v="0"/>
    <x v="1"/>
    <x v="4"/>
    <n v="1"/>
    <n v="15000"/>
    <n v="0.05"/>
    <n v="14250"/>
    <n v="9547.5"/>
    <n v="4702.5"/>
  </r>
  <r>
    <x v="313"/>
    <x v="210"/>
    <s v="Customer 314"/>
    <x v="1"/>
    <x v="2"/>
    <x v="1"/>
    <n v="4"/>
    <n v="1800"/>
    <n v="0"/>
    <n v="7200"/>
    <n v="5688"/>
    <n v="1512"/>
  </r>
  <r>
    <x v="314"/>
    <x v="211"/>
    <s v="Customer 315"/>
    <x v="2"/>
    <x v="1"/>
    <x v="4"/>
    <n v="9"/>
    <n v="15000"/>
    <n v="0.02"/>
    <n v="132300"/>
    <n v="89964"/>
    <n v="42336"/>
  </r>
  <r>
    <x v="315"/>
    <x v="212"/>
    <s v="Customer 316"/>
    <x v="1"/>
    <x v="1"/>
    <x v="3"/>
    <n v="6"/>
    <n v="18000"/>
    <n v="0.05"/>
    <n v="102600"/>
    <n v="77976"/>
    <n v="24624"/>
  </r>
  <r>
    <x v="316"/>
    <x v="194"/>
    <s v="Customer 317"/>
    <x v="1"/>
    <x v="0"/>
    <x v="3"/>
    <n v="2"/>
    <n v="18000"/>
    <n v="0.02"/>
    <n v="35280"/>
    <n v="22226.400000000001"/>
    <n v="13053.599999999999"/>
  </r>
  <r>
    <x v="317"/>
    <x v="213"/>
    <s v="Customer 318"/>
    <x v="1"/>
    <x v="1"/>
    <x v="1"/>
    <n v="7"/>
    <n v="1800"/>
    <n v="0"/>
    <n v="12600"/>
    <n v="8946"/>
    <n v="3654"/>
  </r>
  <r>
    <x v="318"/>
    <x v="214"/>
    <s v="Customer 319"/>
    <x v="2"/>
    <x v="2"/>
    <x v="4"/>
    <n v="10"/>
    <n v="15000"/>
    <n v="0.02"/>
    <n v="147000"/>
    <n v="94080"/>
    <n v="52920"/>
  </r>
  <r>
    <x v="319"/>
    <x v="207"/>
    <s v="Customer 320"/>
    <x v="2"/>
    <x v="2"/>
    <x v="5"/>
    <n v="10"/>
    <n v="250"/>
    <n v="0.02"/>
    <n v="2450"/>
    <n v="1960"/>
    <n v="490"/>
  </r>
  <r>
    <x v="320"/>
    <x v="30"/>
    <s v="Customer 321"/>
    <x v="1"/>
    <x v="0"/>
    <x v="3"/>
    <n v="8"/>
    <n v="18000"/>
    <n v="0.08"/>
    <n v="132480"/>
    <n v="105984"/>
    <n v="26496"/>
  </r>
  <r>
    <x v="321"/>
    <x v="210"/>
    <s v="Customer 322"/>
    <x v="0"/>
    <x v="3"/>
    <x v="6"/>
    <n v="3"/>
    <n v="12500"/>
    <n v="0.1"/>
    <n v="33750"/>
    <n v="23962.5"/>
    <n v="9787.5"/>
  </r>
  <r>
    <x v="322"/>
    <x v="215"/>
    <s v="Customer 323"/>
    <x v="1"/>
    <x v="0"/>
    <x v="5"/>
    <n v="7"/>
    <n v="250"/>
    <n v="0.1"/>
    <n v="1575"/>
    <n v="1055.25"/>
    <n v="519.75"/>
  </r>
  <r>
    <x v="323"/>
    <x v="60"/>
    <s v="Customer 324"/>
    <x v="1"/>
    <x v="3"/>
    <x v="9"/>
    <n v="9"/>
    <n v="9500"/>
    <n v="0"/>
    <n v="85500"/>
    <n v="56430"/>
    <n v="29070"/>
  </r>
  <r>
    <x v="324"/>
    <x v="216"/>
    <s v="Customer 325"/>
    <x v="2"/>
    <x v="3"/>
    <x v="7"/>
    <n v="4"/>
    <n v="4500"/>
    <n v="0.02"/>
    <n v="17640"/>
    <n v="12877.2"/>
    <n v="4762.7999999999993"/>
  </r>
  <r>
    <x v="325"/>
    <x v="143"/>
    <s v="Customer 326"/>
    <x v="1"/>
    <x v="0"/>
    <x v="4"/>
    <n v="1"/>
    <n v="15000"/>
    <n v="0.05"/>
    <n v="14250"/>
    <n v="8835"/>
    <n v="5415"/>
  </r>
  <r>
    <x v="326"/>
    <x v="70"/>
    <s v="Customer 327"/>
    <x v="1"/>
    <x v="1"/>
    <x v="4"/>
    <n v="1"/>
    <n v="15000"/>
    <n v="0"/>
    <n v="15000"/>
    <n v="9450"/>
    <n v="5550"/>
  </r>
  <r>
    <x v="327"/>
    <x v="217"/>
    <s v="Customer 328"/>
    <x v="2"/>
    <x v="1"/>
    <x v="7"/>
    <n v="10"/>
    <n v="4500"/>
    <n v="0.02"/>
    <n v="44100"/>
    <n v="33516"/>
    <n v="10584"/>
  </r>
  <r>
    <x v="328"/>
    <x v="218"/>
    <s v="Customer 329"/>
    <x v="1"/>
    <x v="3"/>
    <x v="7"/>
    <n v="5"/>
    <n v="4500"/>
    <n v="0.08"/>
    <n v="20700"/>
    <n v="13041"/>
    <n v="7659"/>
  </r>
  <r>
    <x v="329"/>
    <x v="219"/>
    <s v="Customer 330"/>
    <x v="0"/>
    <x v="1"/>
    <x v="9"/>
    <n v="9"/>
    <n v="9500"/>
    <n v="0.02"/>
    <n v="83790"/>
    <n v="50274"/>
    <n v="33516"/>
  </r>
  <r>
    <x v="330"/>
    <x v="39"/>
    <s v="Customer 331"/>
    <x v="3"/>
    <x v="2"/>
    <x v="6"/>
    <n v="1"/>
    <n v="12500"/>
    <n v="0.1"/>
    <n v="11250"/>
    <n v="7087.5"/>
    <n v="4162.5"/>
  </r>
  <r>
    <x v="331"/>
    <x v="220"/>
    <s v="Customer 332"/>
    <x v="0"/>
    <x v="2"/>
    <x v="2"/>
    <n v="7"/>
    <n v="2200"/>
    <n v="0.05"/>
    <n v="14630"/>
    <n v="10387.299999999999"/>
    <n v="4242.7000000000007"/>
  </r>
  <r>
    <x v="332"/>
    <x v="216"/>
    <s v="Customer 333"/>
    <x v="0"/>
    <x v="0"/>
    <x v="1"/>
    <n v="4"/>
    <n v="1800"/>
    <n v="0"/>
    <n v="7200"/>
    <n v="4824"/>
    <n v="2376"/>
  </r>
  <r>
    <x v="333"/>
    <x v="142"/>
    <s v="Customer 334"/>
    <x v="3"/>
    <x v="1"/>
    <x v="4"/>
    <n v="4"/>
    <n v="15000"/>
    <n v="0"/>
    <n v="60000"/>
    <n v="37800"/>
    <n v="22200"/>
  </r>
  <r>
    <x v="334"/>
    <x v="221"/>
    <s v="Customer 335"/>
    <x v="1"/>
    <x v="0"/>
    <x v="1"/>
    <n v="7"/>
    <n v="1800"/>
    <n v="0.1"/>
    <n v="11340"/>
    <n v="8731.7999999999993"/>
    <n v="2608.2000000000007"/>
  </r>
  <r>
    <x v="335"/>
    <x v="210"/>
    <s v="Customer 336"/>
    <x v="1"/>
    <x v="2"/>
    <x v="9"/>
    <n v="4"/>
    <n v="9500"/>
    <n v="0.05"/>
    <n v="36100"/>
    <n v="23465"/>
    <n v="12635"/>
  </r>
  <r>
    <x v="336"/>
    <x v="222"/>
    <s v="Customer 337"/>
    <x v="2"/>
    <x v="1"/>
    <x v="1"/>
    <n v="6"/>
    <n v="1800"/>
    <n v="0.15"/>
    <n v="9180"/>
    <n v="6150.6"/>
    <n v="3029.3999999999996"/>
  </r>
  <r>
    <x v="337"/>
    <x v="118"/>
    <s v="Customer 338"/>
    <x v="2"/>
    <x v="1"/>
    <x v="6"/>
    <n v="3"/>
    <n v="12500"/>
    <n v="0.1"/>
    <n v="33750"/>
    <n v="21262.5"/>
    <n v="12487.5"/>
  </r>
  <r>
    <x v="338"/>
    <x v="223"/>
    <s v="Customer 339"/>
    <x v="2"/>
    <x v="3"/>
    <x v="9"/>
    <n v="10"/>
    <n v="9500"/>
    <n v="0.05"/>
    <n v="90250"/>
    <n v="59565"/>
    <n v="30685"/>
  </r>
  <r>
    <x v="339"/>
    <x v="172"/>
    <s v="Customer 340"/>
    <x v="3"/>
    <x v="1"/>
    <x v="5"/>
    <n v="6"/>
    <n v="250"/>
    <n v="0.02"/>
    <n v="1470"/>
    <n v="1058.4000000000001"/>
    <n v="411.59999999999991"/>
  </r>
  <r>
    <x v="340"/>
    <x v="155"/>
    <s v="Customer 341"/>
    <x v="2"/>
    <x v="2"/>
    <x v="7"/>
    <n v="8"/>
    <n v="4500"/>
    <n v="0.1"/>
    <n v="32400"/>
    <n v="21060"/>
    <n v="11340"/>
  </r>
  <r>
    <x v="341"/>
    <x v="209"/>
    <s v="Customer 342"/>
    <x v="1"/>
    <x v="3"/>
    <x v="6"/>
    <n v="6"/>
    <n v="12500"/>
    <n v="0.05"/>
    <n v="71250"/>
    <n v="52012.5"/>
    <n v="19237.5"/>
  </r>
  <r>
    <x v="342"/>
    <x v="95"/>
    <s v="Customer 343"/>
    <x v="2"/>
    <x v="3"/>
    <x v="3"/>
    <n v="1"/>
    <n v="18000"/>
    <n v="0.15"/>
    <n v="15300"/>
    <n v="10710"/>
    <n v="4590"/>
  </r>
  <r>
    <x v="343"/>
    <x v="221"/>
    <s v="Customer 344"/>
    <x v="3"/>
    <x v="1"/>
    <x v="0"/>
    <n v="8"/>
    <n v="65000"/>
    <n v="0.1"/>
    <n v="468000"/>
    <n v="313560"/>
    <n v="154440"/>
  </r>
  <r>
    <x v="344"/>
    <x v="163"/>
    <s v="Customer 345"/>
    <x v="3"/>
    <x v="1"/>
    <x v="3"/>
    <n v="10"/>
    <n v="18000"/>
    <n v="0.15"/>
    <n v="153000"/>
    <n v="104040"/>
    <n v="48960"/>
  </r>
  <r>
    <x v="345"/>
    <x v="217"/>
    <s v="Customer 346"/>
    <x v="3"/>
    <x v="3"/>
    <x v="6"/>
    <n v="6"/>
    <n v="12500"/>
    <n v="0.08"/>
    <n v="69000"/>
    <n v="48990"/>
    <n v="20010"/>
  </r>
  <r>
    <x v="346"/>
    <x v="224"/>
    <s v="Customer 347"/>
    <x v="1"/>
    <x v="1"/>
    <x v="9"/>
    <n v="9"/>
    <n v="9500"/>
    <n v="0.08"/>
    <n v="78660"/>
    <n v="62141.4"/>
    <n v="16518.599999999999"/>
  </r>
  <r>
    <x v="347"/>
    <x v="56"/>
    <s v="Customer 348"/>
    <x v="3"/>
    <x v="2"/>
    <x v="0"/>
    <n v="2"/>
    <n v="65000"/>
    <n v="0.15"/>
    <n v="110500"/>
    <n v="67405"/>
    <n v="43095"/>
  </r>
  <r>
    <x v="348"/>
    <x v="173"/>
    <s v="Customer 349"/>
    <x v="2"/>
    <x v="0"/>
    <x v="0"/>
    <n v="2"/>
    <n v="65000"/>
    <n v="0.05"/>
    <n v="123500"/>
    <n v="83980"/>
    <n v="39520"/>
  </r>
  <r>
    <x v="349"/>
    <x v="183"/>
    <s v="Customer 350"/>
    <x v="3"/>
    <x v="0"/>
    <x v="6"/>
    <n v="2"/>
    <n v="12500"/>
    <n v="0.05"/>
    <n v="23750"/>
    <n v="15200"/>
    <n v="8550"/>
  </r>
  <r>
    <x v="350"/>
    <x v="225"/>
    <s v="Customer 351"/>
    <x v="3"/>
    <x v="2"/>
    <x v="8"/>
    <n v="2"/>
    <n v="28000"/>
    <n v="0.02"/>
    <n v="54880"/>
    <n v="40611.199999999997"/>
    <n v="14268.800000000003"/>
  </r>
  <r>
    <x v="351"/>
    <x v="143"/>
    <s v="Customer 352"/>
    <x v="0"/>
    <x v="0"/>
    <x v="0"/>
    <n v="5"/>
    <n v="65000"/>
    <n v="0.08"/>
    <n v="299000"/>
    <n v="179400"/>
    <n v="119600"/>
  </r>
  <r>
    <x v="352"/>
    <x v="142"/>
    <s v="Customer 353"/>
    <x v="1"/>
    <x v="3"/>
    <x v="0"/>
    <n v="7"/>
    <n v="65000"/>
    <n v="0.05"/>
    <n v="432250"/>
    <n v="280962.5"/>
    <n v="151287.5"/>
  </r>
  <r>
    <x v="353"/>
    <x v="143"/>
    <s v="Customer 354"/>
    <x v="0"/>
    <x v="3"/>
    <x v="1"/>
    <n v="6"/>
    <n v="1800"/>
    <n v="0.02"/>
    <n v="10584"/>
    <n v="7408.8"/>
    <n v="3175.2"/>
  </r>
  <r>
    <x v="354"/>
    <x v="226"/>
    <s v="Customer 355"/>
    <x v="1"/>
    <x v="0"/>
    <x v="0"/>
    <n v="10"/>
    <n v="65000"/>
    <n v="0"/>
    <n v="650000"/>
    <n v="409500"/>
    <n v="240500"/>
  </r>
  <r>
    <x v="355"/>
    <x v="227"/>
    <s v="Customer 356"/>
    <x v="2"/>
    <x v="1"/>
    <x v="8"/>
    <n v="1"/>
    <n v="28000"/>
    <n v="0.15"/>
    <n v="23800"/>
    <n v="15946"/>
    <n v="7854"/>
  </r>
  <r>
    <x v="356"/>
    <x v="209"/>
    <s v="Customer 357"/>
    <x v="2"/>
    <x v="0"/>
    <x v="5"/>
    <n v="6"/>
    <n v="250"/>
    <n v="0.15"/>
    <n v="1275"/>
    <n v="841.5"/>
    <n v="433.5"/>
  </r>
  <r>
    <x v="357"/>
    <x v="100"/>
    <s v="Customer 358"/>
    <x v="2"/>
    <x v="3"/>
    <x v="8"/>
    <n v="1"/>
    <n v="28000"/>
    <n v="0.02"/>
    <n v="27440"/>
    <n v="21403.200000000001"/>
    <n v="6036.7999999999993"/>
  </r>
  <r>
    <x v="358"/>
    <x v="228"/>
    <s v="Customer 359"/>
    <x v="1"/>
    <x v="2"/>
    <x v="0"/>
    <n v="1"/>
    <n v="65000"/>
    <n v="0"/>
    <n v="65000"/>
    <n v="51350"/>
    <n v="13650"/>
  </r>
  <r>
    <x v="359"/>
    <x v="229"/>
    <s v="Customer 360"/>
    <x v="0"/>
    <x v="2"/>
    <x v="2"/>
    <n v="6"/>
    <n v="2200"/>
    <n v="0"/>
    <n v="13200"/>
    <n v="9768"/>
    <n v="3432"/>
  </r>
  <r>
    <x v="360"/>
    <x v="94"/>
    <s v="Customer 361"/>
    <x v="3"/>
    <x v="2"/>
    <x v="6"/>
    <n v="2"/>
    <n v="12500"/>
    <n v="0.15"/>
    <n v="21250"/>
    <n v="13812.5"/>
    <n v="7437.5"/>
  </r>
  <r>
    <x v="361"/>
    <x v="69"/>
    <s v="Customer 362"/>
    <x v="2"/>
    <x v="2"/>
    <x v="1"/>
    <n v="4"/>
    <n v="1800"/>
    <n v="0.15"/>
    <n v="6120"/>
    <n v="4345.2"/>
    <n v="1774.8000000000002"/>
  </r>
  <r>
    <x v="362"/>
    <x v="41"/>
    <s v="Customer 363"/>
    <x v="0"/>
    <x v="1"/>
    <x v="8"/>
    <n v="10"/>
    <n v="28000"/>
    <n v="0.02"/>
    <n v="274400"/>
    <n v="203056"/>
    <n v="71344"/>
  </r>
  <r>
    <x v="363"/>
    <x v="217"/>
    <s v="Customer 364"/>
    <x v="3"/>
    <x v="3"/>
    <x v="5"/>
    <n v="3"/>
    <n v="250"/>
    <n v="0"/>
    <n v="750"/>
    <n v="562.5"/>
    <n v="187.5"/>
  </r>
  <r>
    <x v="364"/>
    <x v="88"/>
    <s v="Customer 365"/>
    <x v="2"/>
    <x v="1"/>
    <x v="7"/>
    <n v="3"/>
    <n v="4500"/>
    <n v="0"/>
    <n v="13500"/>
    <n v="8100"/>
    <n v="5400"/>
  </r>
  <r>
    <x v="365"/>
    <x v="191"/>
    <s v="Customer 366"/>
    <x v="2"/>
    <x v="2"/>
    <x v="4"/>
    <n v="7"/>
    <n v="15000"/>
    <n v="0.15"/>
    <n v="89250"/>
    <n v="65152.5"/>
    <n v="24097.5"/>
  </r>
  <r>
    <x v="366"/>
    <x v="230"/>
    <s v="Customer 367"/>
    <x v="0"/>
    <x v="3"/>
    <x v="5"/>
    <n v="6"/>
    <n v="250"/>
    <n v="0.08"/>
    <n v="1380"/>
    <n v="1062.5999999999999"/>
    <n v="317.40000000000009"/>
  </r>
  <r>
    <x v="367"/>
    <x v="113"/>
    <s v="Customer 368"/>
    <x v="0"/>
    <x v="2"/>
    <x v="0"/>
    <n v="8"/>
    <n v="65000"/>
    <n v="0.1"/>
    <n v="468000"/>
    <n v="369720"/>
    <n v="98280"/>
  </r>
  <r>
    <x v="368"/>
    <x v="231"/>
    <s v="Customer 369"/>
    <x v="1"/>
    <x v="1"/>
    <x v="5"/>
    <n v="5"/>
    <n v="250"/>
    <n v="0.08"/>
    <n v="1150"/>
    <n v="851"/>
    <n v="299"/>
  </r>
  <r>
    <x v="369"/>
    <x v="146"/>
    <s v="Customer 370"/>
    <x v="2"/>
    <x v="0"/>
    <x v="8"/>
    <n v="4"/>
    <n v="28000"/>
    <n v="0"/>
    <n v="112000"/>
    <n v="78400"/>
    <n v="33600"/>
  </r>
  <r>
    <x v="370"/>
    <x v="232"/>
    <s v="Customer 371"/>
    <x v="2"/>
    <x v="1"/>
    <x v="2"/>
    <n v="2"/>
    <n v="2200"/>
    <n v="0.08"/>
    <n v="4048"/>
    <n v="2995.52"/>
    <n v="1052.48"/>
  </r>
  <r>
    <x v="371"/>
    <x v="233"/>
    <s v="Customer 372"/>
    <x v="0"/>
    <x v="3"/>
    <x v="4"/>
    <n v="10"/>
    <n v="15000"/>
    <n v="0.1"/>
    <n v="135000"/>
    <n v="98550"/>
    <n v="36450"/>
  </r>
  <r>
    <x v="372"/>
    <x v="234"/>
    <s v="Customer 373"/>
    <x v="0"/>
    <x v="3"/>
    <x v="6"/>
    <n v="3"/>
    <n v="12500"/>
    <n v="0"/>
    <n v="37500"/>
    <n v="26250"/>
    <n v="11250"/>
  </r>
  <r>
    <x v="373"/>
    <x v="130"/>
    <s v="Customer 374"/>
    <x v="3"/>
    <x v="0"/>
    <x v="7"/>
    <n v="1"/>
    <n v="4500"/>
    <n v="0.1"/>
    <n v="4050"/>
    <n v="2916"/>
    <n v="1134"/>
  </r>
  <r>
    <x v="374"/>
    <x v="167"/>
    <s v="Customer 375"/>
    <x v="1"/>
    <x v="1"/>
    <x v="5"/>
    <n v="9"/>
    <n v="250"/>
    <n v="0"/>
    <n v="2250"/>
    <n v="1395"/>
    <n v="855"/>
  </r>
  <r>
    <x v="375"/>
    <x v="192"/>
    <s v="Customer 376"/>
    <x v="3"/>
    <x v="2"/>
    <x v="7"/>
    <n v="1"/>
    <n v="4500"/>
    <n v="0.05"/>
    <n v="4275"/>
    <n v="3291.75"/>
    <n v="983.25"/>
  </r>
  <r>
    <x v="376"/>
    <x v="233"/>
    <s v="Customer 377"/>
    <x v="2"/>
    <x v="1"/>
    <x v="9"/>
    <n v="3"/>
    <n v="9500"/>
    <n v="0.02"/>
    <n v="27930"/>
    <n v="18433.8"/>
    <n v="9496.2000000000007"/>
  </r>
  <r>
    <x v="377"/>
    <x v="73"/>
    <s v="Customer 378"/>
    <x v="0"/>
    <x v="3"/>
    <x v="0"/>
    <n v="6"/>
    <n v="65000"/>
    <n v="0.02"/>
    <n v="382200"/>
    <n v="236964"/>
    <n v="145236"/>
  </r>
  <r>
    <x v="378"/>
    <x v="169"/>
    <s v="Customer 379"/>
    <x v="0"/>
    <x v="2"/>
    <x v="6"/>
    <n v="6"/>
    <n v="12500"/>
    <n v="0.05"/>
    <n v="71250"/>
    <n v="53437.5"/>
    <n v="17812.5"/>
  </r>
  <r>
    <x v="379"/>
    <x v="38"/>
    <s v="Customer 380"/>
    <x v="3"/>
    <x v="0"/>
    <x v="9"/>
    <n v="5"/>
    <n v="9500"/>
    <n v="0.02"/>
    <n v="46550"/>
    <n v="33050.5"/>
    <n v="13499.5"/>
  </r>
  <r>
    <x v="380"/>
    <x v="31"/>
    <s v="Customer 381"/>
    <x v="1"/>
    <x v="2"/>
    <x v="6"/>
    <n v="4"/>
    <n v="12500"/>
    <n v="0.15"/>
    <n v="42500"/>
    <n v="29750"/>
    <n v="12750"/>
  </r>
  <r>
    <x v="381"/>
    <x v="186"/>
    <s v="Customer 382"/>
    <x v="2"/>
    <x v="0"/>
    <x v="3"/>
    <n v="9"/>
    <n v="18000"/>
    <n v="0.02"/>
    <n v="158760"/>
    <n v="101606.39999999999"/>
    <n v="57153.600000000006"/>
  </r>
  <r>
    <x v="382"/>
    <x v="80"/>
    <s v="Customer 383"/>
    <x v="1"/>
    <x v="1"/>
    <x v="4"/>
    <n v="2"/>
    <n v="15000"/>
    <n v="0.08"/>
    <n v="27600"/>
    <n v="19596"/>
    <n v="8004"/>
  </r>
  <r>
    <x v="383"/>
    <x v="229"/>
    <s v="Customer 384"/>
    <x v="2"/>
    <x v="3"/>
    <x v="5"/>
    <n v="4"/>
    <n v="250"/>
    <n v="0.02"/>
    <n v="980"/>
    <n v="656.6"/>
    <n v="323.39999999999998"/>
  </r>
  <r>
    <x v="384"/>
    <x v="229"/>
    <s v="Customer 385"/>
    <x v="1"/>
    <x v="0"/>
    <x v="8"/>
    <n v="7"/>
    <n v="28000"/>
    <n v="0.1"/>
    <n v="176400"/>
    <n v="137592"/>
    <n v="38808"/>
  </r>
  <r>
    <x v="385"/>
    <x v="235"/>
    <s v="Customer 386"/>
    <x v="1"/>
    <x v="1"/>
    <x v="9"/>
    <n v="8"/>
    <n v="9500"/>
    <n v="0.05"/>
    <n v="72200"/>
    <n v="55594"/>
    <n v="16606"/>
  </r>
  <r>
    <x v="386"/>
    <x v="74"/>
    <s v="Customer 387"/>
    <x v="2"/>
    <x v="2"/>
    <x v="0"/>
    <n v="2"/>
    <n v="65000"/>
    <n v="0.15"/>
    <n v="110500"/>
    <n v="76245"/>
    <n v="34255"/>
  </r>
  <r>
    <x v="387"/>
    <x v="110"/>
    <s v="Customer 388"/>
    <x v="1"/>
    <x v="0"/>
    <x v="8"/>
    <n v="9"/>
    <n v="28000"/>
    <n v="0.05"/>
    <n v="239400"/>
    <n v="186732"/>
    <n v="52668"/>
  </r>
  <r>
    <x v="388"/>
    <x v="236"/>
    <s v="Customer 389"/>
    <x v="0"/>
    <x v="2"/>
    <x v="9"/>
    <n v="7"/>
    <n v="9500"/>
    <n v="0.02"/>
    <n v="65170"/>
    <n v="42360.5"/>
    <n v="22809.5"/>
  </r>
  <r>
    <x v="389"/>
    <x v="106"/>
    <s v="Customer 390"/>
    <x v="3"/>
    <x v="3"/>
    <x v="2"/>
    <n v="4"/>
    <n v="2200"/>
    <n v="0.1"/>
    <n v="7920"/>
    <n v="6256.8"/>
    <n v="1663.1999999999998"/>
  </r>
  <r>
    <x v="390"/>
    <x v="27"/>
    <s v="Customer 391"/>
    <x v="1"/>
    <x v="2"/>
    <x v="9"/>
    <n v="2"/>
    <n v="9500"/>
    <n v="0.02"/>
    <n v="18620"/>
    <n v="13034"/>
    <n v="5586"/>
  </r>
  <r>
    <x v="391"/>
    <x v="66"/>
    <s v="Customer 392"/>
    <x v="2"/>
    <x v="2"/>
    <x v="3"/>
    <n v="8"/>
    <n v="18000"/>
    <n v="0"/>
    <n v="144000"/>
    <n v="103680"/>
    <n v="40320"/>
  </r>
  <r>
    <x v="392"/>
    <x v="47"/>
    <s v="Customer 393"/>
    <x v="2"/>
    <x v="3"/>
    <x v="4"/>
    <n v="9"/>
    <n v="15000"/>
    <n v="0.08"/>
    <n v="124200"/>
    <n v="83214"/>
    <n v="40986"/>
  </r>
  <r>
    <x v="393"/>
    <x v="237"/>
    <s v="Customer 394"/>
    <x v="1"/>
    <x v="1"/>
    <x v="6"/>
    <n v="4"/>
    <n v="12500"/>
    <n v="0.15"/>
    <n v="42500"/>
    <n v="33575"/>
    <n v="8925"/>
  </r>
  <r>
    <x v="394"/>
    <x v="116"/>
    <s v="Customer 395"/>
    <x v="1"/>
    <x v="0"/>
    <x v="5"/>
    <n v="5"/>
    <n v="250"/>
    <n v="0.15"/>
    <n v="1062.5"/>
    <n v="775.625"/>
    <n v="286.875"/>
  </r>
  <r>
    <x v="395"/>
    <x v="238"/>
    <s v="Customer 396"/>
    <x v="0"/>
    <x v="1"/>
    <x v="4"/>
    <n v="5"/>
    <n v="15000"/>
    <n v="0.15"/>
    <n v="63750"/>
    <n v="40162.5"/>
    <n v="23587.5"/>
  </r>
  <r>
    <x v="396"/>
    <x v="239"/>
    <s v="Customer 397"/>
    <x v="3"/>
    <x v="2"/>
    <x v="5"/>
    <n v="10"/>
    <n v="250"/>
    <n v="0.15"/>
    <n v="2125"/>
    <n v="1678.75"/>
    <n v="446.25"/>
  </r>
  <r>
    <x v="397"/>
    <x v="33"/>
    <s v="Customer 398"/>
    <x v="2"/>
    <x v="1"/>
    <x v="6"/>
    <n v="10"/>
    <n v="12500"/>
    <n v="0.1"/>
    <n v="112500"/>
    <n v="69750"/>
    <n v="42750"/>
  </r>
  <r>
    <x v="398"/>
    <x v="240"/>
    <s v="Customer 399"/>
    <x v="0"/>
    <x v="2"/>
    <x v="9"/>
    <n v="1"/>
    <n v="9500"/>
    <n v="0.08"/>
    <n v="8740"/>
    <n v="6992"/>
    <n v="1748"/>
  </r>
  <r>
    <x v="399"/>
    <x v="156"/>
    <s v="Customer 400"/>
    <x v="3"/>
    <x v="2"/>
    <x v="4"/>
    <n v="10"/>
    <n v="15000"/>
    <n v="0"/>
    <n v="150000"/>
    <n v="114000"/>
    <n v="36000"/>
  </r>
  <r>
    <x v="400"/>
    <x v="143"/>
    <s v="Customer 401"/>
    <x v="2"/>
    <x v="1"/>
    <x v="8"/>
    <n v="9"/>
    <n v="28000"/>
    <n v="0.15"/>
    <n v="214200"/>
    <n v="149940"/>
    <n v="64260"/>
  </r>
  <r>
    <x v="401"/>
    <x v="220"/>
    <s v="Customer 402"/>
    <x v="0"/>
    <x v="3"/>
    <x v="7"/>
    <n v="7"/>
    <n v="4500"/>
    <n v="0.15"/>
    <n v="26775"/>
    <n v="17939.25"/>
    <n v="8835.75"/>
  </r>
  <r>
    <x v="402"/>
    <x v="15"/>
    <s v="Customer 403"/>
    <x v="3"/>
    <x v="3"/>
    <x v="1"/>
    <n v="9"/>
    <n v="1800"/>
    <n v="0.1"/>
    <n v="14580"/>
    <n v="9185.4"/>
    <n v="5394.6"/>
  </r>
  <r>
    <x v="403"/>
    <x v="157"/>
    <s v="Customer 404"/>
    <x v="0"/>
    <x v="1"/>
    <x v="3"/>
    <n v="3"/>
    <n v="18000"/>
    <n v="0.02"/>
    <n v="52920"/>
    <n v="39160.800000000003"/>
    <n v="13759.199999999997"/>
  </r>
  <r>
    <x v="404"/>
    <x v="165"/>
    <s v="Customer 405"/>
    <x v="3"/>
    <x v="0"/>
    <x v="8"/>
    <n v="8"/>
    <n v="28000"/>
    <n v="0.15"/>
    <n v="190400"/>
    <n v="152320"/>
    <n v="38080"/>
  </r>
  <r>
    <x v="405"/>
    <x v="241"/>
    <s v="Customer 406"/>
    <x v="1"/>
    <x v="0"/>
    <x v="3"/>
    <n v="10"/>
    <n v="18000"/>
    <n v="0.02"/>
    <n v="176400"/>
    <n v="118188"/>
    <n v="58212"/>
  </r>
  <r>
    <x v="406"/>
    <x v="136"/>
    <s v="Customer 407"/>
    <x v="0"/>
    <x v="3"/>
    <x v="7"/>
    <n v="2"/>
    <n v="4500"/>
    <n v="0.02"/>
    <n v="8820"/>
    <n v="6262.2"/>
    <n v="2557.8000000000002"/>
  </r>
  <r>
    <x v="407"/>
    <x v="239"/>
    <s v="Customer 408"/>
    <x v="0"/>
    <x v="3"/>
    <x v="8"/>
    <n v="9"/>
    <n v="28000"/>
    <n v="0.05"/>
    <n v="239400"/>
    <n v="191520"/>
    <n v="47880"/>
  </r>
  <r>
    <x v="408"/>
    <x v="61"/>
    <s v="Customer 409"/>
    <x v="1"/>
    <x v="1"/>
    <x v="2"/>
    <n v="9"/>
    <n v="2200"/>
    <n v="0.05"/>
    <n v="18810"/>
    <n v="11662.2"/>
    <n v="7147.7999999999993"/>
  </r>
  <r>
    <x v="409"/>
    <x v="242"/>
    <s v="Customer 410"/>
    <x v="2"/>
    <x v="2"/>
    <x v="1"/>
    <n v="8"/>
    <n v="1800"/>
    <n v="0"/>
    <n v="14400"/>
    <n v="8784"/>
    <n v="5616"/>
  </r>
  <r>
    <x v="410"/>
    <x v="243"/>
    <s v="Customer 411"/>
    <x v="3"/>
    <x v="1"/>
    <x v="9"/>
    <n v="6"/>
    <n v="9500"/>
    <n v="0.1"/>
    <n v="51300"/>
    <n v="35397"/>
    <n v="15903"/>
  </r>
  <r>
    <x v="411"/>
    <x v="244"/>
    <s v="Customer 412"/>
    <x v="2"/>
    <x v="1"/>
    <x v="1"/>
    <n v="4"/>
    <n v="1800"/>
    <n v="0.1"/>
    <n v="6480"/>
    <n v="3952.8"/>
    <n v="2527.1999999999998"/>
  </r>
  <r>
    <x v="412"/>
    <x v="69"/>
    <s v="Customer 413"/>
    <x v="0"/>
    <x v="3"/>
    <x v="6"/>
    <n v="3"/>
    <n v="12500"/>
    <n v="0.15"/>
    <n v="31875"/>
    <n v="21037.5"/>
    <n v="10837.5"/>
  </r>
  <r>
    <x v="413"/>
    <x v="10"/>
    <s v="Customer 414"/>
    <x v="1"/>
    <x v="3"/>
    <x v="4"/>
    <n v="3"/>
    <n v="15000"/>
    <n v="0.05"/>
    <n v="42750"/>
    <n v="29925"/>
    <n v="12825"/>
  </r>
  <r>
    <x v="414"/>
    <x v="56"/>
    <s v="Customer 415"/>
    <x v="3"/>
    <x v="2"/>
    <x v="7"/>
    <n v="1"/>
    <n v="4500"/>
    <n v="0.02"/>
    <n v="4410"/>
    <n v="2734.2"/>
    <n v="1675.8000000000002"/>
  </r>
  <r>
    <x v="415"/>
    <x v="162"/>
    <s v="Customer 416"/>
    <x v="0"/>
    <x v="2"/>
    <x v="7"/>
    <n v="5"/>
    <n v="4500"/>
    <n v="0.08"/>
    <n v="20700"/>
    <n v="15318"/>
    <n v="5382"/>
  </r>
  <r>
    <x v="416"/>
    <x v="78"/>
    <s v="Customer 417"/>
    <x v="0"/>
    <x v="3"/>
    <x v="3"/>
    <n v="6"/>
    <n v="18000"/>
    <n v="0"/>
    <n v="108000"/>
    <n v="69120"/>
    <n v="38880"/>
  </r>
  <r>
    <x v="417"/>
    <x v="36"/>
    <s v="Customer 418"/>
    <x v="2"/>
    <x v="0"/>
    <x v="8"/>
    <n v="1"/>
    <n v="28000"/>
    <n v="0.08"/>
    <n v="25760"/>
    <n v="20608"/>
    <n v="5152"/>
  </r>
  <r>
    <x v="418"/>
    <x v="148"/>
    <s v="Customer 419"/>
    <x v="3"/>
    <x v="3"/>
    <x v="0"/>
    <n v="5"/>
    <n v="65000"/>
    <n v="0.15"/>
    <n v="276250"/>
    <n v="198900"/>
    <n v="77350"/>
  </r>
  <r>
    <x v="419"/>
    <x v="126"/>
    <s v="Customer 420"/>
    <x v="0"/>
    <x v="3"/>
    <x v="3"/>
    <n v="4"/>
    <n v="18000"/>
    <n v="0.15"/>
    <n v="61200"/>
    <n v="40392"/>
    <n v="20808"/>
  </r>
  <r>
    <x v="420"/>
    <x v="245"/>
    <s v="Customer 421"/>
    <x v="1"/>
    <x v="1"/>
    <x v="3"/>
    <n v="1"/>
    <n v="18000"/>
    <n v="0"/>
    <n v="18000"/>
    <n v="13680"/>
    <n v="4320"/>
  </r>
  <r>
    <x v="421"/>
    <x v="173"/>
    <s v="Customer 422"/>
    <x v="3"/>
    <x v="1"/>
    <x v="5"/>
    <n v="9"/>
    <n v="250"/>
    <n v="0.05"/>
    <n v="2137.5"/>
    <n v="1667.25"/>
    <n v="470.25"/>
  </r>
  <r>
    <x v="422"/>
    <x v="246"/>
    <s v="Customer 423"/>
    <x v="0"/>
    <x v="3"/>
    <x v="0"/>
    <n v="5"/>
    <n v="65000"/>
    <n v="0"/>
    <n v="325000"/>
    <n v="230750"/>
    <n v="94250"/>
  </r>
  <r>
    <x v="423"/>
    <x v="17"/>
    <s v="Customer 424"/>
    <x v="2"/>
    <x v="2"/>
    <x v="5"/>
    <n v="3"/>
    <n v="250"/>
    <n v="0"/>
    <n v="750"/>
    <n v="457.5"/>
    <n v="292.5"/>
  </r>
  <r>
    <x v="424"/>
    <x v="96"/>
    <s v="Customer 425"/>
    <x v="2"/>
    <x v="3"/>
    <x v="7"/>
    <n v="10"/>
    <n v="4500"/>
    <n v="0.08"/>
    <n v="41400"/>
    <n v="33120"/>
    <n v="8280"/>
  </r>
  <r>
    <x v="425"/>
    <x v="164"/>
    <s v="Customer 426"/>
    <x v="0"/>
    <x v="0"/>
    <x v="2"/>
    <n v="10"/>
    <n v="2200"/>
    <n v="0.1"/>
    <n v="19800"/>
    <n v="14850"/>
    <n v="4950"/>
  </r>
  <r>
    <x v="426"/>
    <x v="58"/>
    <s v="Customer 427"/>
    <x v="2"/>
    <x v="0"/>
    <x v="1"/>
    <n v="10"/>
    <n v="1800"/>
    <n v="0"/>
    <n v="18000"/>
    <n v="14040"/>
    <n v="3960"/>
  </r>
  <r>
    <x v="427"/>
    <x v="247"/>
    <s v="Customer 428"/>
    <x v="3"/>
    <x v="2"/>
    <x v="4"/>
    <n v="7"/>
    <n v="15000"/>
    <n v="0.1"/>
    <n v="94500"/>
    <n v="75600"/>
    <n v="18900"/>
  </r>
  <r>
    <x v="428"/>
    <x v="165"/>
    <s v="Customer 429"/>
    <x v="1"/>
    <x v="2"/>
    <x v="1"/>
    <n v="3"/>
    <n v="1800"/>
    <n v="0.02"/>
    <n v="5292"/>
    <n v="3281.04"/>
    <n v="2010.96"/>
  </r>
  <r>
    <x v="429"/>
    <x v="248"/>
    <s v="Customer 430"/>
    <x v="1"/>
    <x v="3"/>
    <x v="3"/>
    <n v="7"/>
    <n v="18000"/>
    <n v="0.15"/>
    <n v="107100"/>
    <n v="72828"/>
    <n v="34272"/>
  </r>
  <r>
    <x v="430"/>
    <x v="32"/>
    <s v="Customer 431"/>
    <x v="1"/>
    <x v="3"/>
    <x v="3"/>
    <n v="7"/>
    <n v="18000"/>
    <n v="0.02"/>
    <n v="123480"/>
    <n v="96314.4"/>
    <n v="27165.600000000006"/>
  </r>
  <r>
    <x v="431"/>
    <x v="89"/>
    <s v="Customer 432"/>
    <x v="0"/>
    <x v="1"/>
    <x v="1"/>
    <n v="1"/>
    <n v="1800"/>
    <n v="0.15"/>
    <n v="1530"/>
    <n v="1009.8"/>
    <n v="520.20000000000005"/>
  </r>
  <r>
    <x v="432"/>
    <x v="203"/>
    <s v="Customer 433"/>
    <x v="3"/>
    <x v="2"/>
    <x v="6"/>
    <n v="6"/>
    <n v="12500"/>
    <n v="0.05"/>
    <n v="71250"/>
    <n v="45600"/>
    <n v="25650"/>
  </r>
  <r>
    <x v="433"/>
    <x v="139"/>
    <s v="Customer 434"/>
    <x v="2"/>
    <x v="3"/>
    <x v="2"/>
    <n v="3"/>
    <n v="2200"/>
    <n v="0.08"/>
    <n v="6072"/>
    <n v="4007.52"/>
    <n v="2064.48"/>
  </r>
  <r>
    <x v="434"/>
    <x v="116"/>
    <s v="Customer 435"/>
    <x v="2"/>
    <x v="0"/>
    <x v="0"/>
    <n v="7"/>
    <n v="65000"/>
    <n v="0.1"/>
    <n v="409500"/>
    <n v="307125"/>
    <n v="102375"/>
  </r>
  <r>
    <x v="435"/>
    <x v="179"/>
    <s v="Customer 436"/>
    <x v="1"/>
    <x v="2"/>
    <x v="2"/>
    <n v="6"/>
    <n v="2200"/>
    <n v="0"/>
    <n v="13200"/>
    <n v="10428"/>
    <n v="2772"/>
  </r>
  <r>
    <x v="436"/>
    <x v="9"/>
    <s v="Customer 437"/>
    <x v="3"/>
    <x v="2"/>
    <x v="6"/>
    <n v="3"/>
    <n v="12500"/>
    <n v="0.05"/>
    <n v="35625"/>
    <n v="28500"/>
    <n v="7125"/>
  </r>
  <r>
    <x v="437"/>
    <x v="91"/>
    <s v="Customer 438"/>
    <x v="3"/>
    <x v="0"/>
    <x v="9"/>
    <n v="3"/>
    <n v="9500"/>
    <n v="0"/>
    <n v="28500"/>
    <n v="21945"/>
    <n v="6555"/>
  </r>
  <r>
    <x v="438"/>
    <x v="117"/>
    <s v="Customer 439"/>
    <x v="1"/>
    <x v="2"/>
    <x v="3"/>
    <n v="7"/>
    <n v="18000"/>
    <n v="0.05"/>
    <n v="119700"/>
    <n v="80199"/>
    <n v="39501"/>
  </r>
  <r>
    <x v="439"/>
    <x v="90"/>
    <s v="Customer 440"/>
    <x v="2"/>
    <x v="3"/>
    <x v="7"/>
    <n v="7"/>
    <n v="4500"/>
    <n v="0.08"/>
    <n v="28980"/>
    <n v="17967.599999999999"/>
    <n v="11012.400000000001"/>
  </r>
  <r>
    <x v="440"/>
    <x v="249"/>
    <s v="Customer 441"/>
    <x v="3"/>
    <x v="0"/>
    <x v="8"/>
    <n v="6"/>
    <n v="28000"/>
    <n v="0.15"/>
    <n v="142800"/>
    <n v="102816"/>
    <n v="39984"/>
  </r>
  <r>
    <x v="441"/>
    <x v="61"/>
    <s v="Customer 442"/>
    <x v="1"/>
    <x v="0"/>
    <x v="8"/>
    <n v="10"/>
    <n v="28000"/>
    <n v="0.1"/>
    <n v="252000"/>
    <n v="176400"/>
    <n v="75600"/>
  </r>
  <r>
    <x v="442"/>
    <x v="175"/>
    <s v="Customer 443"/>
    <x v="3"/>
    <x v="1"/>
    <x v="1"/>
    <n v="1"/>
    <n v="1800"/>
    <n v="0.08"/>
    <n v="1656"/>
    <n v="1043.28"/>
    <n v="612.72"/>
  </r>
  <r>
    <x v="443"/>
    <x v="37"/>
    <s v="Customer 444"/>
    <x v="3"/>
    <x v="0"/>
    <x v="9"/>
    <n v="6"/>
    <n v="9500"/>
    <n v="0.05"/>
    <n v="54150"/>
    <n v="39529.5"/>
    <n v="14620.5"/>
  </r>
  <r>
    <x v="444"/>
    <x v="250"/>
    <s v="Customer 445"/>
    <x v="0"/>
    <x v="0"/>
    <x v="1"/>
    <n v="6"/>
    <n v="1800"/>
    <n v="0.1"/>
    <n v="9720"/>
    <n v="6609.6"/>
    <n v="3110.3999999999996"/>
  </r>
  <r>
    <x v="445"/>
    <x v="159"/>
    <s v="Customer 446"/>
    <x v="3"/>
    <x v="0"/>
    <x v="3"/>
    <n v="6"/>
    <n v="18000"/>
    <n v="0.02"/>
    <n v="105840"/>
    <n v="66679.199999999997"/>
    <n v="39160.800000000003"/>
  </r>
  <r>
    <x v="446"/>
    <x v="140"/>
    <s v="Customer 447"/>
    <x v="0"/>
    <x v="0"/>
    <x v="1"/>
    <n v="3"/>
    <n v="1800"/>
    <n v="0.1"/>
    <n v="4860"/>
    <n v="3790.8"/>
    <n v="1069.1999999999998"/>
  </r>
  <r>
    <x v="447"/>
    <x v="1"/>
    <s v="Customer 448"/>
    <x v="1"/>
    <x v="1"/>
    <x v="5"/>
    <n v="2"/>
    <n v="250"/>
    <n v="0.05"/>
    <n v="475"/>
    <n v="308.75"/>
    <n v="166.25"/>
  </r>
  <r>
    <x v="448"/>
    <x v="182"/>
    <s v="Customer 449"/>
    <x v="1"/>
    <x v="2"/>
    <x v="3"/>
    <n v="3"/>
    <n v="18000"/>
    <n v="0.08"/>
    <n v="49680"/>
    <n v="36763.199999999997"/>
    <n v="12916.800000000003"/>
  </r>
  <r>
    <x v="449"/>
    <x v="251"/>
    <s v="Customer 450"/>
    <x v="1"/>
    <x v="3"/>
    <x v="9"/>
    <n v="5"/>
    <n v="9500"/>
    <n v="0.02"/>
    <n v="46550"/>
    <n v="27930"/>
    <n v="18620"/>
  </r>
  <r>
    <x v="450"/>
    <x v="194"/>
    <s v="Customer 451"/>
    <x v="0"/>
    <x v="2"/>
    <x v="0"/>
    <n v="8"/>
    <n v="65000"/>
    <n v="0.1"/>
    <n v="468000"/>
    <n v="355680"/>
    <n v="112320"/>
  </r>
  <r>
    <x v="451"/>
    <x v="25"/>
    <s v="Customer 452"/>
    <x v="0"/>
    <x v="1"/>
    <x v="8"/>
    <n v="8"/>
    <n v="28000"/>
    <n v="0.08"/>
    <n v="206080"/>
    <n v="150438.39999999999"/>
    <n v="55641.600000000006"/>
  </r>
  <r>
    <x v="452"/>
    <x v="71"/>
    <s v="Customer 453"/>
    <x v="1"/>
    <x v="0"/>
    <x v="7"/>
    <n v="4"/>
    <n v="4500"/>
    <n v="0.08"/>
    <n v="16560"/>
    <n v="11095.2"/>
    <n v="5464.7999999999993"/>
  </r>
  <r>
    <x v="453"/>
    <x v="252"/>
    <s v="Customer 454"/>
    <x v="1"/>
    <x v="2"/>
    <x v="5"/>
    <n v="4"/>
    <n v="250"/>
    <n v="0.08"/>
    <n v="920"/>
    <n v="680.8"/>
    <n v="239.20000000000005"/>
  </r>
  <r>
    <x v="454"/>
    <x v="181"/>
    <s v="Customer 455"/>
    <x v="3"/>
    <x v="1"/>
    <x v="2"/>
    <n v="2"/>
    <n v="2200"/>
    <n v="0.15"/>
    <n v="3740"/>
    <n v="2468.4"/>
    <n v="1271.5999999999999"/>
  </r>
  <r>
    <x v="455"/>
    <x v="7"/>
    <s v="Customer 456"/>
    <x v="3"/>
    <x v="3"/>
    <x v="5"/>
    <n v="5"/>
    <n v="250"/>
    <n v="0.02"/>
    <n v="1225"/>
    <n v="784"/>
    <n v="441"/>
  </r>
  <r>
    <x v="456"/>
    <x v="205"/>
    <s v="Customer 457"/>
    <x v="2"/>
    <x v="3"/>
    <x v="1"/>
    <n v="7"/>
    <n v="1800"/>
    <n v="0.02"/>
    <n v="12348"/>
    <n v="9384.48"/>
    <n v="2963.5200000000004"/>
  </r>
  <r>
    <x v="457"/>
    <x v="253"/>
    <s v="Customer 458"/>
    <x v="1"/>
    <x v="0"/>
    <x v="5"/>
    <n v="9"/>
    <n v="250"/>
    <n v="0"/>
    <n v="2250"/>
    <n v="1485"/>
    <n v="765"/>
  </r>
  <r>
    <x v="458"/>
    <x v="162"/>
    <s v="Customer 459"/>
    <x v="3"/>
    <x v="0"/>
    <x v="0"/>
    <n v="9"/>
    <n v="65000"/>
    <n v="0.1"/>
    <n v="526500"/>
    <n v="363285"/>
    <n v="163215"/>
  </r>
  <r>
    <x v="459"/>
    <x v="254"/>
    <s v="Customer 460"/>
    <x v="2"/>
    <x v="3"/>
    <x v="7"/>
    <n v="8"/>
    <n v="4500"/>
    <n v="0.02"/>
    <n v="35280"/>
    <n v="25048.799999999999"/>
    <n v="10231.200000000001"/>
  </r>
  <r>
    <x v="460"/>
    <x v="149"/>
    <s v="Customer 461"/>
    <x v="2"/>
    <x v="0"/>
    <x v="6"/>
    <n v="2"/>
    <n v="12500"/>
    <n v="0.02"/>
    <n v="24500"/>
    <n v="19355"/>
    <n v="5145"/>
  </r>
  <r>
    <x v="461"/>
    <x v="255"/>
    <s v="Customer 462"/>
    <x v="1"/>
    <x v="1"/>
    <x v="6"/>
    <n v="5"/>
    <n v="12500"/>
    <n v="0.02"/>
    <n v="61250"/>
    <n v="44100"/>
    <n v="17150"/>
  </r>
  <r>
    <x v="462"/>
    <x v="256"/>
    <s v="Customer 463"/>
    <x v="2"/>
    <x v="0"/>
    <x v="8"/>
    <n v="8"/>
    <n v="28000"/>
    <n v="0.02"/>
    <n v="219520"/>
    <n v="171225.60000000001"/>
    <n v="48294.399999999994"/>
  </r>
  <r>
    <x v="463"/>
    <x v="257"/>
    <s v="Customer 464"/>
    <x v="3"/>
    <x v="1"/>
    <x v="6"/>
    <n v="1"/>
    <n v="12500"/>
    <n v="0.08"/>
    <n v="11500"/>
    <n v="8855"/>
    <n v="2645"/>
  </r>
  <r>
    <x v="464"/>
    <x v="86"/>
    <s v="Customer 465"/>
    <x v="1"/>
    <x v="0"/>
    <x v="7"/>
    <n v="4"/>
    <n v="4500"/>
    <n v="0.1"/>
    <n v="16200"/>
    <n v="11826"/>
    <n v="4374"/>
  </r>
  <r>
    <x v="465"/>
    <x v="52"/>
    <s v="Customer 466"/>
    <x v="1"/>
    <x v="2"/>
    <x v="0"/>
    <n v="10"/>
    <n v="65000"/>
    <n v="0.1"/>
    <n v="585000"/>
    <n v="362700"/>
    <n v="222300"/>
  </r>
  <r>
    <x v="466"/>
    <x v="205"/>
    <s v="Customer 467"/>
    <x v="2"/>
    <x v="1"/>
    <x v="1"/>
    <n v="9"/>
    <n v="1800"/>
    <n v="0.02"/>
    <n v="15876"/>
    <n v="12224.52"/>
    <n v="3651.4799999999996"/>
  </r>
  <r>
    <x v="467"/>
    <x v="116"/>
    <s v="Customer 468"/>
    <x v="3"/>
    <x v="1"/>
    <x v="9"/>
    <n v="4"/>
    <n v="9500"/>
    <n v="0.05"/>
    <n v="36100"/>
    <n v="28158"/>
    <n v="7942"/>
  </r>
  <r>
    <x v="468"/>
    <x v="213"/>
    <s v="Customer 469"/>
    <x v="2"/>
    <x v="0"/>
    <x v="0"/>
    <n v="7"/>
    <n v="65000"/>
    <n v="0.15"/>
    <n v="386750"/>
    <n v="235917.5"/>
    <n v="150832.5"/>
  </r>
  <r>
    <x v="469"/>
    <x v="44"/>
    <s v="Customer 470"/>
    <x v="2"/>
    <x v="2"/>
    <x v="7"/>
    <n v="1"/>
    <n v="4500"/>
    <n v="0"/>
    <n v="4500"/>
    <n v="3555"/>
    <n v="945"/>
  </r>
  <r>
    <x v="470"/>
    <x v="99"/>
    <s v="Customer 471"/>
    <x v="2"/>
    <x v="1"/>
    <x v="4"/>
    <n v="2"/>
    <n v="15000"/>
    <n v="0.1"/>
    <n v="27000"/>
    <n v="19710"/>
    <n v="7290"/>
  </r>
  <r>
    <x v="471"/>
    <x v="91"/>
    <s v="Customer 472"/>
    <x v="2"/>
    <x v="3"/>
    <x v="7"/>
    <n v="7"/>
    <n v="4500"/>
    <n v="0.02"/>
    <n v="30870"/>
    <n v="18830.7"/>
    <n v="12039.3"/>
  </r>
  <r>
    <x v="472"/>
    <x v="139"/>
    <s v="Customer 473"/>
    <x v="2"/>
    <x v="0"/>
    <x v="6"/>
    <n v="3"/>
    <n v="12500"/>
    <n v="0.02"/>
    <n v="36750"/>
    <n v="23152.5"/>
    <n v="13597.5"/>
  </r>
  <r>
    <x v="473"/>
    <x v="258"/>
    <s v="Customer 474"/>
    <x v="1"/>
    <x v="3"/>
    <x v="2"/>
    <n v="7"/>
    <n v="2200"/>
    <n v="0"/>
    <n v="15400"/>
    <n v="9548"/>
    <n v="5852"/>
  </r>
  <r>
    <x v="474"/>
    <x v="58"/>
    <s v="Customer 475"/>
    <x v="0"/>
    <x v="3"/>
    <x v="0"/>
    <n v="8"/>
    <n v="65000"/>
    <n v="0.08"/>
    <n v="478400"/>
    <n v="287040"/>
    <n v="191360"/>
  </r>
  <r>
    <x v="475"/>
    <x v="39"/>
    <s v="Customer 476"/>
    <x v="3"/>
    <x v="2"/>
    <x v="1"/>
    <n v="8"/>
    <n v="1800"/>
    <n v="0.15"/>
    <n v="12240"/>
    <n v="7956"/>
    <n v="4284"/>
  </r>
  <r>
    <x v="476"/>
    <x v="173"/>
    <s v="Customer 477"/>
    <x v="0"/>
    <x v="1"/>
    <x v="4"/>
    <n v="1"/>
    <n v="15000"/>
    <n v="0.1"/>
    <n v="13500"/>
    <n v="10800"/>
    <n v="2700"/>
  </r>
  <r>
    <x v="477"/>
    <x v="19"/>
    <s v="Customer 478"/>
    <x v="1"/>
    <x v="0"/>
    <x v="2"/>
    <n v="7"/>
    <n v="2200"/>
    <n v="0.05"/>
    <n v="14630"/>
    <n v="11557.7"/>
    <n v="3072.2999999999993"/>
  </r>
  <r>
    <x v="478"/>
    <x v="220"/>
    <s v="Customer 479"/>
    <x v="0"/>
    <x v="2"/>
    <x v="5"/>
    <n v="3"/>
    <n v="250"/>
    <n v="0"/>
    <n v="750"/>
    <n v="600"/>
    <n v="150"/>
  </r>
  <r>
    <x v="479"/>
    <x v="10"/>
    <s v="Customer 480"/>
    <x v="3"/>
    <x v="1"/>
    <x v="0"/>
    <n v="3"/>
    <n v="65000"/>
    <n v="0.1"/>
    <n v="175500"/>
    <n v="136890"/>
    <n v="38610"/>
  </r>
  <r>
    <x v="480"/>
    <x v="77"/>
    <s v="Customer 481"/>
    <x v="3"/>
    <x v="3"/>
    <x v="6"/>
    <n v="7"/>
    <n v="12500"/>
    <n v="0.05"/>
    <n v="83125"/>
    <n v="60681.25"/>
    <n v="22443.75"/>
  </r>
  <r>
    <x v="481"/>
    <x v="259"/>
    <s v="Customer 482"/>
    <x v="1"/>
    <x v="0"/>
    <x v="0"/>
    <n v="3"/>
    <n v="65000"/>
    <n v="0.1"/>
    <n v="175500"/>
    <n v="126360"/>
    <n v="49140"/>
  </r>
  <r>
    <x v="482"/>
    <x v="136"/>
    <s v="Customer 483"/>
    <x v="2"/>
    <x v="0"/>
    <x v="3"/>
    <n v="6"/>
    <n v="18000"/>
    <n v="0.05"/>
    <n v="102600"/>
    <n v="77976"/>
    <n v="24624"/>
  </r>
  <r>
    <x v="483"/>
    <x v="253"/>
    <s v="Customer 484"/>
    <x v="2"/>
    <x v="2"/>
    <x v="3"/>
    <n v="5"/>
    <n v="18000"/>
    <n v="0.1"/>
    <n v="81000"/>
    <n v="57510"/>
    <n v="23490"/>
  </r>
  <r>
    <x v="484"/>
    <x v="17"/>
    <s v="Customer 485"/>
    <x v="2"/>
    <x v="3"/>
    <x v="1"/>
    <n v="7"/>
    <n v="1800"/>
    <n v="0"/>
    <n v="12600"/>
    <n v="8568"/>
    <n v="4032"/>
  </r>
  <r>
    <x v="485"/>
    <x v="98"/>
    <s v="Customer 486"/>
    <x v="1"/>
    <x v="2"/>
    <x v="3"/>
    <n v="8"/>
    <n v="18000"/>
    <n v="0.05"/>
    <n v="136800"/>
    <n v="87552"/>
    <n v="49248"/>
  </r>
  <r>
    <x v="486"/>
    <x v="122"/>
    <s v="Customer 487"/>
    <x v="0"/>
    <x v="2"/>
    <x v="8"/>
    <n v="9"/>
    <n v="28000"/>
    <n v="0.1"/>
    <n v="226800"/>
    <n v="145152"/>
    <n v="81648"/>
  </r>
  <r>
    <x v="487"/>
    <x v="141"/>
    <s v="Customer 488"/>
    <x v="2"/>
    <x v="1"/>
    <x v="6"/>
    <n v="6"/>
    <n v="12500"/>
    <n v="0.05"/>
    <n v="71250"/>
    <n v="51300"/>
    <n v="19950"/>
  </r>
  <r>
    <x v="488"/>
    <x v="260"/>
    <s v="Customer 489"/>
    <x v="0"/>
    <x v="3"/>
    <x v="1"/>
    <n v="1"/>
    <n v="1800"/>
    <n v="0.1"/>
    <n v="1620"/>
    <n v="1085.4000000000001"/>
    <n v="534.59999999999991"/>
  </r>
  <r>
    <x v="489"/>
    <x v="194"/>
    <s v="Customer 490"/>
    <x v="1"/>
    <x v="3"/>
    <x v="0"/>
    <n v="10"/>
    <n v="65000"/>
    <n v="0.08"/>
    <n v="598000"/>
    <n v="472420"/>
    <n v="125580"/>
  </r>
  <r>
    <x v="490"/>
    <x v="198"/>
    <s v="Customer 491"/>
    <x v="2"/>
    <x v="2"/>
    <x v="8"/>
    <n v="1"/>
    <n v="28000"/>
    <n v="0.05"/>
    <n v="26600"/>
    <n v="18354"/>
    <n v="8246"/>
  </r>
  <r>
    <x v="491"/>
    <x v="186"/>
    <s v="Customer 492"/>
    <x v="1"/>
    <x v="0"/>
    <x v="2"/>
    <n v="3"/>
    <n v="2200"/>
    <n v="0.08"/>
    <n v="6072"/>
    <n v="4432.5600000000004"/>
    <n v="1639.4399999999996"/>
  </r>
  <r>
    <x v="492"/>
    <x v="49"/>
    <s v="Customer 493"/>
    <x v="1"/>
    <x v="0"/>
    <x v="5"/>
    <n v="10"/>
    <n v="250"/>
    <n v="0.05"/>
    <n v="2375"/>
    <n v="1900"/>
    <n v="475"/>
  </r>
  <r>
    <x v="493"/>
    <x v="219"/>
    <s v="Customer 494"/>
    <x v="2"/>
    <x v="0"/>
    <x v="0"/>
    <n v="9"/>
    <n v="65000"/>
    <n v="0.02"/>
    <n v="573300"/>
    <n v="366912"/>
    <n v="206388"/>
  </r>
  <r>
    <x v="494"/>
    <x v="51"/>
    <s v="Customer 495"/>
    <x v="2"/>
    <x v="3"/>
    <x v="9"/>
    <n v="3"/>
    <n v="9500"/>
    <n v="0"/>
    <n v="28500"/>
    <n v="21945"/>
    <n v="6555"/>
  </r>
  <r>
    <x v="495"/>
    <x v="105"/>
    <s v="Customer 496"/>
    <x v="1"/>
    <x v="0"/>
    <x v="7"/>
    <n v="7"/>
    <n v="4500"/>
    <n v="0.1"/>
    <n v="28350"/>
    <n v="19845"/>
    <n v="8505"/>
  </r>
  <r>
    <x v="496"/>
    <x v="194"/>
    <s v="Customer 497"/>
    <x v="0"/>
    <x v="3"/>
    <x v="1"/>
    <n v="1"/>
    <n v="1800"/>
    <n v="0"/>
    <n v="1800"/>
    <n v="1224"/>
    <n v="576"/>
  </r>
  <r>
    <x v="497"/>
    <x v="95"/>
    <s v="Customer 498"/>
    <x v="0"/>
    <x v="1"/>
    <x v="6"/>
    <n v="10"/>
    <n v="12500"/>
    <n v="0.02"/>
    <n v="122500"/>
    <n v="86975"/>
    <n v="35525"/>
  </r>
  <r>
    <x v="498"/>
    <x v="251"/>
    <s v="Customer 499"/>
    <x v="3"/>
    <x v="2"/>
    <x v="7"/>
    <n v="10"/>
    <n v="4500"/>
    <n v="0.15"/>
    <n v="38250"/>
    <n v="24480"/>
    <n v="137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0BA7A-8725-41AF-A992-8FE32358D2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dataField="1"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umFmtId="14" showAll="0">
      <items count="262">
        <item x="108"/>
        <item x="154"/>
        <item x="78"/>
        <item x="55"/>
        <item x="54"/>
        <item x="63"/>
        <item x="206"/>
        <item x="79"/>
        <item x="101"/>
        <item x="6"/>
        <item x="21"/>
        <item x="212"/>
        <item x="18"/>
        <item x="31"/>
        <item x="104"/>
        <item x="207"/>
        <item x="39"/>
        <item x="22"/>
        <item x="234"/>
        <item x="250"/>
        <item x="200"/>
        <item x="170"/>
        <item x="106"/>
        <item x="95"/>
        <item x="230"/>
        <item x="126"/>
        <item x="168"/>
        <item x="153"/>
        <item x="3"/>
        <item x="162"/>
        <item x="241"/>
        <item x="211"/>
        <item x="26"/>
        <item x="137"/>
        <item x="99"/>
        <item x="43"/>
        <item x="204"/>
        <item x="155"/>
        <item x="224"/>
        <item x="121"/>
        <item x="172"/>
        <item x="51"/>
        <item x="133"/>
        <item x="8"/>
        <item x="163"/>
        <item x="210"/>
        <item x="223"/>
        <item x="2"/>
        <item x="118"/>
        <item x="123"/>
        <item x="122"/>
        <item x="197"/>
        <item x="120"/>
        <item x="42"/>
        <item x="144"/>
        <item x="232"/>
        <item x="150"/>
        <item x="0"/>
        <item x="98"/>
        <item x="248"/>
        <item x="134"/>
        <item x="254"/>
        <item x="76"/>
        <item x="114"/>
        <item x="255"/>
        <item x="231"/>
        <item x="238"/>
        <item x="215"/>
        <item x="53"/>
        <item x="100"/>
        <item x="45"/>
        <item x="129"/>
        <item x="107"/>
        <item x="214"/>
        <item x="105"/>
        <item x="164"/>
        <item x="124"/>
        <item x="136"/>
        <item x="240"/>
        <item x="209"/>
        <item x="174"/>
        <item x="47"/>
        <item x="28"/>
        <item x="165"/>
        <item x="161"/>
        <item x="193"/>
        <item x="113"/>
        <item x="96"/>
        <item x="116"/>
        <item x="222"/>
        <item x="185"/>
        <item x="62"/>
        <item x="67"/>
        <item x="247"/>
        <item x="256"/>
        <item x="186"/>
        <item x="135"/>
        <item x="81"/>
        <item x="198"/>
        <item x="208"/>
        <item x="213"/>
        <item x="216"/>
        <item x="149"/>
        <item x="233"/>
        <item x="59"/>
        <item x="14"/>
        <item x="64"/>
        <item x="90"/>
        <item x="218"/>
        <item x="221"/>
        <item x="228"/>
        <item x="188"/>
        <item x="138"/>
        <item x="19"/>
        <item x="257"/>
        <item x="195"/>
        <item x="10"/>
        <item x="128"/>
        <item x="201"/>
        <item x="66"/>
        <item x="182"/>
        <item x="139"/>
        <item x="68"/>
        <item x="83"/>
        <item x="77"/>
        <item x="109"/>
        <item x="245"/>
        <item x="7"/>
        <item x="243"/>
        <item x="181"/>
        <item x="159"/>
        <item x="56"/>
        <item x="40"/>
        <item x="61"/>
        <item x="15"/>
        <item x="65"/>
        <item x="239"/>
        <item x="192"/>
        <item x="152"/>
        <item x="169"/>
        <item x="16"/>
        <item x="112"/>
        <item x="1"/>
        <item x="132"/>
        <item x="158"/>
        <item x="30"/>
        <item x="117"/>
        <item x="187"/>
        <item x="9"/>
        <item x="24"/>
        <item x="147"/>
        <item x="130"/>
        <item x="49"/>
        <item x="72"/>
        <item x="157"/>
        <item x="88"/>
        <item x="69"/>
        <item x="178"/>
        <item x="52"/>
        <item x="13"/>
        <item x="183"/>
        <item x="252"/>
        <item x="27"/>
        <item x="160"/>
        <item x="84"/>
        <item x="171"/>
        <item x="167"/>
        <item x="37"/>
        <item x="38"/>
        <item x="143"/>
        <item x="34"/>
        <item x="36"/>
        <item x="46"/>
        <item x="145"/>
        <item x="20"/>
        <item x="184"/>
        <item x="33"/>
        <item x="127"/>
        <item x="251"/>
        <item x="70"/>
        <item x="258"/>
        <item x="87"/>
        <item x="58"/>
        <item x="196"/>
        <item x="202"/>
        <item x="146"/>
        <item x="226"/>
        <item x="148"/>
        <item x="203"/>
        <item x="246"/>
        <item x="82"/>
        <item x="189"/>
        <item x="71"/>
        <item x="91"/>
        <item x="94"/>
        <item x="75"/>
        <item x="60"/>
        <item x="166"/>
        <item x="236"/>
        <item x="44"/>
        <item x="12"/>
        <item x="225"/>
        <item x="156"/>
        <item x="85"/>
        <item x="227"/>
        <item x="74"/>
        <item x="110"/>
        <item x="141"/>
        <item x="11"/>
        <item x="140"/>
        <item x="179"/>
        <item x="115"/>
        <item x="176"/>
        <item x="48"/>
        <item x="191"/>
        <item x="259"/>
        <item x="235"/>
        <item x="131"/>
        <item x="102"/>
        <item x="244"/>
        <item x="220"/>
        <item x="29"/>
        <item x="50"/>
        <item x="57"/>
        <item x="17"/>
        <item x="217"/>
        <item x="111"/>
        <item x="92"/>
        <item x="5"/>
        <item x="93"/>
        <item x="242"/>
        <item x="41"/>
        <item x="199"/>
        <item x="73"/>
        <item x="97"/>
        <item x="4"/>
        <item x="23"/>
        <item x="194"/>
        <item x="103"/>
        <item x="175"/>
        <item x="151"/>
        <item x="177"/>
        <item x="260"/>
        <item x="237"/>
        <item x="80"/>
        <item x="219"/>
        <item x="125"/>
        <item x="205"/>
        <item x="253"/>
        <item x="32"/>
        <item x="229"/>
        <item x="173"/>
        <item x="89"/>
        <item x="25"/>
        <item x="119"/>
        <item x="180"/>
        <item x="35"/>
        <item x="142"/>
        <item x="86"/>
        <item x="190"/>
        <item x="249"/>
        <item t="default"/>
      </items>
    </pivotField>
    <pivotField showAll="0"/>
    <pivotField showAll="0">
      <items count="5">
        <item x="3"/>
        <item x="1"/>
        <item x="0"/>
        <item x="2"/>
        <item t="default"/>
      </items>
    </pivotField>
    <pivotField showAll="0">
      <items count="5">
        <item x="0"/>
        <item x="2"/>
        <item x="3"/>
        <item x="1"/>
        <item t="default"/>
      </items>
    </pivotField>
    <pivotField showAll="0">
      <items count="11">
        <item x="1"/>
        <item x="4"/>
        <item x="7"/>
        <item x="2"/>
        <item x="0"/>
        <item x="3"/>
        <item x="5"/>
        <item x="6"/>
        <item x="9"/>
        <item x="8"/>
        <item t="default"/>
      </items>
    </pivotField>
    <pivotField dataField="1" showAll="0"/>
    <pivotField showAll="0"/>
    <pivotField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Order ID" fld="0" subtotal="count" baseField="0" baseItem="0"/>
    <dataField name="Sum of Profit" fld="11" baseField="0" baseItem="0"/>
    <dataField name="Sum of Sales" fld="9"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4C566-B5DA-4FD0-945E-723407F7C0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4">
    <pivotField showAll="0"/>
    <pivotField axis="axisRow" numFmtId="14" showAll="0">
      <items count="262">
        <item x="108"/>
        <item x="154"/>
        <item x="78"/>
        <item x="55"/>
        <item x="54"/>
        <item x="63"/>
        <item x="206"/>
        <item x="79"/>
        <item x="101"/>
        <item x="6"/>
        <item x="21"/>
        <item x="212"/>
        <item x="18"/>
        <item x="31"/>
        <item x="104"/>
        <item x="207"/>
        <item x="39"/>
        <item x="22"/>
        <item x="234"/>
        <item x="250"/>
        <item x="200"/>
        <item x="170"/>
        <item x="106"/>
        <item x="95"/>
        <item x="230"/>
        <item x="126"/>
        <item x="168"/>
        <item x="153"/>
        <item x="3"/>
        <item x="162"/>
        <item x="241"/>
        <item x="211"/>
        <item x="26"/>
        <item x="137"/>
        <item x="99"/>
        <item x="43"/>
        <item x="204"/>
        <item x="155"/>
        <item x="224"/>
        <item x="121"/>
        <item x="172"/>
        <item x="51"/>
        <item x="133"/>
        <item x="8"/>
        <item x="163"/>
        <item x="210"/>
        <item x="223"/>
        <item x="2"/>
        <item x="118"/>
        <item x="123"/>
        <item x="122"/>
        <item x="197"/>
        <item x="120"/>
        <item x="42"/>
        <item x="144"/>
        <item x="232"/>
        <item x="150"/>
        <item x="0"/>
        <item x="98"/>
        <item x="248"/>
        <item x="134"/>
        <item x="254"/>
        <item x="76"/>
        <item x="114"/>
        <item x="255"/>
        <item x="231"/>
        <item x="238"/>
        <item x="215"/>
        <item x="53"/>
        <item x="100"/>
        <item x="45"/>
        <item x="129"/>
        <item x="107"/>
        <item x="214"/>
        <item x="105"/>
        <item x="164"/>
        <item x="124"/>
        <item x="136"/>
        <item x="240"/>
        <item x="209"/>
        <item x="174"/>
        <item x="47"/>
        <item x="28"/>
        <item x="165"/>
        <item x="161"/>
        <item x="193"/>
        <item x="113"/>
        <item x="96"/>
        <item x="116"/>
        <item x="222"/>
        <item x="185"/>
        <item x="62"/>
        <item x="67"/>
        <item x="247"/>
        <item x="256"/>
        <item x="186"/>
        <item x="135"/>
        <item x="81"/>
        <item x="198"/>
        <item x="208"/>
        <item x="213"/>
        <item x="216"/>
        <item x="149"/>
        <item x="233"/>
        <item x="59"/>
        <item x="14"/>
        <item x="64"/>
        <item x="90"/>
        <item x="218"/>
        <item x="221"/>
        <item x="228"/>
        <item x="188"/>
        <item x="138"/>
        <item x="19"/>
        <item x="257"/>
        <item x="195"/>
        <item x="10"/>
        <item x="128"/>
        <item x="201"/>
        <item x="66"/>
        <item x="182"/>
        <item x="139"/>
        <item x="68"/>
        <item x="83"/>
        <item x="77"/>
        <item x="109"/>
        <item x="245"/>
        <item x="7"/>
        <item x="243"/>
        <item x="181"/>
        <item x="159"/>
        <item x="56"/>
        <item x="40"/>
        <item x="61"/>
        <item x="15"/>
        <item x="65"/>
        <item x="239"/>
        <item x="192"/>
        <item x="152"/>
        <item x="169"/>
        <item x="16"/>
        <item x="112"/>
        <item x="1"/>
        <item x="132"/>
        <item x="158"/>
        <item x="30"/>
        <item x="117"/>
        <item x="187"/>
        <item x="9"/>
        <item x="24"/>
        <item x="147"/>
        <item x="130"/>
        <item x="49"/>
        <item x="72"/>
        <item x="157"/>
        <item x="88"/>
        <item x="69"/>
        <item x="178"/>
        <item x="52"/>
        <item x="13"/>
        <item x="183"/>
        <item x="252"/>
        <item x="27"/>
        <item x="160"/>
        <item x="84"/>
        <item x="171"/>
        <item x="167"/>
        <item x="37"/>
        <item x="38"/>
        <item x="143"/>
        <item x="34"/>
        <item x="36"/>
        <item x="46"/>
        <item x="145"/>
        <item x="20"/>
        <item x="184"/>
        <item x="33"/>
        <item x="127"/>
        <item x="251"/>
        <item x="70"/>
        <item x="258"/>
        <item x="87"/>
        <item x="58"/>
        <item x="196"/>
        <item x="202"/>
        <item x="146"/>
        <item x="226"/>
        <item x="148"/>
        <item x="203"/>
        <item x="246"/>
        <item x="82"/>
        <item x="189"/>
        <item x="71"/>
        <item x="91"/>
        <item x="94"/>
        <item x="75"/>
        <item x="60"/>
        <item x="166"/>
        <item x="236"/>
        <item x="44"/>
        <item x="12"/>
        <item x="225"/>
        <item x="156"/>
        <item x="85"/>
        <item x="227"/>
        <item x="74"/>
        <item x="110"/>
        <item x="141"/>
        <item x="11"/>
        <item x="140"/>
        <item x="179"/>
        <item x="115"/>
        <item x="176"/>
        <item x="48"/>
        <item x="191"/>
        <item x="259"/>
        <item x="235"/>
        <item x="131"/>
        <item x="102"/>
        <item x="244"/>
        <item x="220"/>
        <item x="29"/>
        <item x="50"/>
        <item x="57"/>
        <item x="17"/>
        <item x="217"/>
        <item x="111"/>
        <item x="92"/>
        <item x="5"/>
        <item x="93"/>
        <item x="242"/>
        <item x="41"/>
        <item x="199"/>
        <item x="73"/>
        <item x="97"/>
        <item x="4"/>
        <item x="23"/>
        <item x="194"/>
        <item x="103"/>
        <item x="175"/>
        <item x="151"/>
        <item x="177"/>
        <item x="260"/>
        <item x="237"/>
        <item x="80"/>
        <item x="219"/>
        <item x="125"/>
        <item x="205"/>
        <item x="253"/>
        <item x="32"/>
        <item x="229"/>
        <item x="173"/>
        <item x="89"/>
        <item x="25"/>
        <item x="119"/>
        <item x="180"/>
        <item x="35"/>
        <item x="142"/>
        <item x="86"/>
        <item x="190"/>
        <item x="249"/>
        <item t="default"/>
      </items>
    </pivotField>
    <pivotField showAll="0"/>
    <pivotField showAll="0">
      <items count="5">
        <item x="3"/>
        <item x="1"/>
        <item x="0"/>
        <item x="2"/>
        <item t="default"/>
      </items>
    </pivotField>
    <pivotField showAll="0">
      <items count="5">
        <item x="0"/>
        <item x="2"/>
        <item x="3"/>
        <item x="1"/>
        <item t="default"/>
      </items>
    </pivotField>
    <pivotField showAll="0">
      <items count="11">
        <item x="1"/>
        <item x="4"/>
        <item x="7"/>
        <item x="2"/>
        <item x="0"/>
        <item x="3"/>
        <item x="5"/>
        <item x="6"/>
        <item x="9"/>
        <item x="8"/>
        <item t="default"/>
      </items>
    </pivotField>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57DAB1-7CF8-4F68-8F20-81B643A7DD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showAll="0"/>
    <pivotField numFmtId="14" showAll="0">
      <items count="262">
        <item x="108"/>
        <item x="154"/>
        <item x="78"/>
        <item x="55"/>
        <item x="54"/>
        <item x="63"/>
        <item x="206"/>
        <item x="79"/>
        <item x="101"/>
        <item x="6"/>
        <item x="21"/>
        <item x="212"/>
        <item x="18"/>
        <item x="31"/>
        <item x="104"/>
        <item x="207"/>
        <item x="39"/>
        <item x="22"/>
        <item x="234"/>
        <item x="250"/>
        <item x="200"/>
        <item x="170"/>
        <item x="106"/>
        <item x="95"/>
        <item x="230"/>
        <item x="126"/>
        <item x="168"/>
        <item x="153"/>
        <item x="3"/>
        <item x="162"/>
        <item x="241"/>
        <item x="211"/>
        <item x="26"/>
        <item x="137"/>
        <item x="99"/>
        <item x="43"/>
        <item x="204"/>
        <item x="155"/>
        <item x="224"/>
        <item x="121"/>
        <item x="172"/>
        <item x="51"/>
        <item x="133"/>
        <item x="8"/>
        <item x="163"/>
        <item x="210"/>
        <item x="223"/>
        <item x="2"/>
        <item x="118"/>
        <item x="123"/>
        <item x="122"/>
        <item x="197"/>
        <item x="120"/>
        <item x="42"/>
        <item x="144"/>
        <item x="232"/>
        <item x="150"/>
        <item x="0"/>
        <item x="98"/>
        <item x="248"/>
        <item x="134"/>
        <item x="254"/>
        <item x="76"/>
        <item x="114"/>
        <item x="255"/>
        <item x="231"/>
        <item x="238"/>
        <item x="215"/>
        <item x="53"/>
        <item x="100"/>
        <item x="45"/>
        <item x="129"/>
        <item x="107"/>
        <item x="214"/>
        <item x="105"/>
        <item x="164"/>
        <item x="124"/>
        <item x="136"/>
        <item x="240"/>
        <item x="209"/>
        <item x="174"/>
        <item x="47"/>
        <item x="28"/>
        <item x="165"/>
        <item x="161"/>
        <item x="193"/>
        <item x="113"/>
        <item x="96"/>
        <item x="116"/>
        <item x="222"/>
        <item x="185"/>
        <item x="62"/>
        <item x="67"/>
        <item x="247"/>
        <item x="256"/>
        <item x="186"/>
        <item x="135"/>
        <item x="81"/>
        <item x="198"/>
        <item x="208"/>
        <item x="213"/>
        <item x="216"/>
        <item x="149"/>
        <item x="233"/>
        <item x="59"/>
        <item x="14"/>
        <item x="64"/>
        <item x="90"/>
        <item x="218"/>
        <item x="221"/>
        <item x="228"/>
        <item x="188"/>
        <item x="138"/>
        <item x="19"/>
        <item x="257"/>
        <item x="195"/>
        <item x="10"/>
        <item x="128"/>
        <item x="201"/>
        <item x="66"/>
        <item x="182"/>
        <item x="139"/>
        <item x="68"/>
        <item x="83"/>
        <item x="77"/>
        <item x="109"/>
        <item x="245"/>
        <item x="7"/>
        <item x="243"/>
        <item x="181"/>
        <item x="159"/>
        <item x="56"/>
        <item x="40"/>
        <item x="61"/>
        <item x="15"/>
        <item x="65"/>
        <item x="239"/>
        <item x="192"/>
        <item x="152"/>
        <item x="169"/>
        <item x="16"/>
        <item x="112"/>
        <item x="1"/>
        <item x="132"/>
        <item x="158"/>
        <item x="30"/>
        <item x="117"/>
        <item x="187"/>
        <item x="9"/>
        <item x="24"/>
        <item x="147"/>
        <item x="130"/>
        <item x="49"/>
        <item x="72"/>
        <item x="157"/>
        <item x="88"/>
        <item x="69"/>
        <item x="178"/>
        <item x="52"/>
        <item x="13"/>
        <item x="183"/>
        <item x="252"/>
        <item x="27"/>
        <item x="160"/>
        <item x="84"/>
        <item x="171"/>
        <item x="167"/>
        <item x="37"/>
        <item x="38"/>
        <item x="143"/>
        <item x="34"/>
        <item x="36"/>
        <item x="46"/>
        <item x="145"/>
        <item x="20"/>
        <item x="184"/>
        <item x="33"/>
        <item x="127"/>
        <item x="251"/>
        <item x="70"/>
        <item x="258"/>
        <item x="87"/>
        <item x="58"/>
        <item x="196"/>
        <item x="202"/>
        <item x="146"/>
        <item x="226"/>
        <item x="148"/>
        <item x="203"/>
        <item x="246"/>
        <item x="82"/>
        <item x="189"/>
        <item x="71"/>
        <item x="91"/>
        <item x="94"/>
        <item x="75"/>
        <item x="60"/>
        <item x="166"/>
        <item x="236"/>
        <item x="44"/>
        <item x="12"/>
        <item x="225"/>
        <item x="156"/>
        <item x="85"/>
        <item x="227"/>
        <item x="74"/>
        <item x="110"/>
        <item x="141"/>
        <item x="11"/>
        <item x="140"/>
        <item x="179"/>
        <item x="115"/>
        <item x="176"/>
        <item x="48"/>
        <item x="191"/>
        <item x="259"/>
        <item x="235"/>
        <item x="131"/>
        <item x="102"/>
        <item x="244"/>
        <item x="220"/>
        <item x="29"/>
        <item x="50"/>
        <item x="57"/>
        <item x="17"/>
        <item x="217"/>
        <item x="111"/>
        <item x="92"/>
        <item x="5"/>
        <item x="93"/>
        <item x="242"/>
        <item x="41"/>
        <item x="199"/>
        <item x="73"/>
        <item x="97"/>
        <item x="4"/>
        <item x="23"/>
        <item x="194"/>
        <item x="103"/>
        <item x="175"/>
        <item x="151"/>
        <item x="177"/>
        <item x="260"/>
        <item x="237"/>
        <item x="80"/>
        <item x="219"/>
        <item x="125"/>
        <item x="205"/>
        <item x="253"/>
        <item x="32"/>
        <item x="229"/>
        <item x="173"/>
        <item x="89"/>
        <item x="25"/>
        <item x="119"/>
        <item x="180"/>
        <item x="35"/>
        <item x="142"/>
        <item x="86"/>
        <item x="190"/>
        <item x="249"/>
        <item t="default"/>
      </items>
    </pivotField>
    <pivotField showAll="0"/>
    <pivotField axis="axisRow" showAll="0">
      <items count="5">
        <item x="3"/>
        <item x="1"/>
        <item x="0"/>
        <item x="2"/>
        <item t="default"/>
      </items>
    </pivotField>
    <pivotField showAll="0">
      <items count="5">
        <item x="0"/>
        <item x="2"/>
        <item x="3"/>
        <item x="1"/>
        <item t="default"/>
      </items>
    </pivotField>
    <pivotField showAll="0">
      <items count="11">
        <item x="1"/>
        <item x="4"/>
        <item x="7"/>
        <item x="2"/>
        <item x="0"/>
        <item x="3"/>
        <item x="5"/>
        <item x="6"/>
        <item x="9"/>
        <item x="8"/>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7B3F0-899C-4CF9-A0DC-E881583672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14">
    <pivotField showAll="0"/>
    <pivotField numFmtId="14" showAll="0">
      <items count="262">
        <item x="108"/>
        <item x="154"/>
        <item x="78"/>
        <item x="55"/>
        <item x="54"/>
        <item x="63"/>
        <item x="206"/>
        <item x="79"/>
        <item x="101"/>
        <item x="6"/>
        <item x="21"/>
        <item x="212"/>
        <item x="18"/>
        <item x="31"/>
        <item x="104"/>
        <item x="207"/>
        <item x="39"/>
        <item x="22"/>
        <item x="234"/>
        <item x="250"/>
        <item x="200"/>
        <item x="170"/>
        <item x="106"/>
        <item x="95"/>
        <item x="230"/>
        <item x="126"/>
        <item x="168"/>
        <item x="153"/>
        <item x="3"/>
        <item x="162"/>
        <item x="241"/>
        <item x="211"/>
        <item x="26"/>
        <item x="137"/>
        <item x="99"/>
        <item x="43"/>
        <item x="204"/>
        <item x="155"/>
        <item x="224"/>
        <item x="121"/>
        <item x="172"/>
        <item x="51"/>
        <item x="133"/>
        <item x="8"/>
        <item x="163"/>
        <item x="210"/>
        <item x="223"/>
        <item x="2"/>
        <item x="118"/>
        <item x="123"/>
        <item x="122"/>
        <item x="197"/>
        <item x="120"/>
        <item x="42"/>
        <item x="144"/>
        <item x="232"/>
        <item x="150"/>
        <item x="0"/>
        <item x="98"/>
        <item x="248"/>
        <item x="134"/>
        <item x="254"/>
        <item x="76"/>
        <item x="114"/>
        <item x="255"/>
        <item x="231"/>
        <item x="238"/>
        <item x="215"/>
        <item x="53"/>
        <item x="100"/>
        <item x="45"/>
        <item x="129"/>
        <item x="107"/>
        <item x="214"/>
        <item x="105"/>
        <item x="164"/>
        <item x="124"/>
        <item x="136"/>
        <item x="240"/>
        <item x="209"/>
        <item x="174"/>
        <item x="47"/>
        <item x="28"/>
        <item x="165"/>
        <item x="161"/>
        <item x="193"/>
        <item x="113"/>
        <item x="96"/>
        <item x="116"/>
        <item x="222"/>
        <item x="185"/>
        <item x="62"/>
        <item x="67"/>
        <item x="247"/>
        <item x="256"/>
        <item x="186"/>
        <item x="135"/>
        <item x="81"/>
        <item x="198"/>
        <item x="208"/>
        <item x="213"/>
        <item x="216"/>
        <item x="149"/>
        <item x="233"/>
        <item x="59"/>
        <item x="14"/>
        <item x="64"/>
        <item x="90"/>
        <item x="218"/>
        <item x="221"/>
        <item x="228"/>
        <item x="188"/>
        <item x="138"/>
        <item x="19"/>
        <item x="257"/>
        <item x="195"/>
        <item x="10"/>
        <item x="128"/>
        <item x="201"/>
        <item x="66"/>
        <item x="182"/>
        <item x="139"/>
        <item x="68"/>
        <item x="83"/>
        <item x="77"/>
        <item x="109"/>
        <item x="245"/>
        <item x="7"/>
        <item x="243"/>
        <item x="181"/>
        <item x="159"/>
        <item x="56"/>
        <item x="40"/>
        <item x="61"/>
        <item x="15"/>
        <item x="65"/>
        <item x="239"/>
        <item x="192"/>
        <item x="152"/>
        <item x="169"/>
        <item x="16"/>
        <item x="112"/>
        <item x="1"/>
        <item x="132"/>
        <item x="158"/>
        <item x="30"/>
        <item x="117"/>
        <item x="187"/>
        <item x="9"/>
        <item x="24"/>
        <item x="147"/>
        <item x="130"/>
        <item x="49"/>
        <item x="72"/>
        <item x="157"/>
        <item x="88"/>
        <item x="69"/>
        <item x="178"/>
        <item x="52"/>
        <item x="13"/>
        <item x="183"/>
        <item x="252"/>
        <item x="27"/>
        <item x="160"/>
        <item x="84"/>
        <item x="171"/>
        <item x="167"/>
        <item x="37"/>
        <item x="38"/>
        <item x="143"/>
        <item x="34"/>
        <item x="36"/>
        <item x="46"/>
        <item x="145"/>
        <item x="20"/>
        <item x="184"/>
        <item x="33"/>
        <item x="127"/>
        <item x="251"/>
        <item x="70"/>
        <item x="258"/>
        <item x="87"/>
        <item x="58"/>
        <item x="196"/>
        <item x="202"/>
        <item x="146"/>
        <item x="226"/>
        <item x="148"/>
        <item x="203"/>
        <item x="246"/>
        <item x="82"/>
        <item x="189"/>
        <item x="71"/>
        <item x="91"/>
        <item x="94"/>
        <item x="75"/>
        <item x="60"/>
        <item x="166"/>
        <item x="236"/>
        <item x="44"/>
        <item x="12"/>
        <item x="225"/>
        <item x="156"/>
        <item x="85"/>
        <item x="227"/>
        <item x="74"/>
        <item x="110"/>
        <item x="141"/>
        <item x="11"/>
        <item x="140"/>
        <item x="179"/>
        <item x="115"/>
        <item x="176"/>
        <item x="48"/>
        <item x="191"/>
        <item x="259"/>
        <item x="235"/>
        <item x="131"/>
        <item x="102"/>
        <item x="244"/>
        <item x="220"/>
        <item x="29"/>
        <item x="50"/>
        <item x="57"/>
        <item x="17"/>
        <item x="217"/>
        <item x="111"/>
        <item x="92"/>
        <item x="5"/>
        <item x="93"/>
        <item x="242"/>
        <item x="41"/>
        <item x="199"/>
        <item x="73"/>
        <item x="97"/>
        <item x="4"/>
        <item x="23"/>
        <item x="194"/>
        <item x="103"/>
        <item x="175"/>
        <item x="151"/>
        <item x="177"/>
        <item x="260"/>
        <item x="237"/>
        <item x="80"/>
        <item x="219"/>
        <item x="125"/>
        <item x="205"/>
        <item x="253"/>
        <item x="32"/>
        <item x="229"/>
        <item x="173"/>
        <item x="89"/>
        <item x="25"/>
        <item x="119"/>
        <item x="180"/>
        <item x="35"/>
        <item x="142"/>
        <item x="86"/>
        <item x="190"/>
        <item x="249"/>
        <item t="default"/>
      </items>
    </pivotField>
    <pivotField showAll="0"/>
    <pivotField showAll="0">
      <items count="5">
        <item x="3"/>
        <item x="1"/>
        <item x="0"/>
        <item x="2"/>
        <item t="default"/>
      </items>
    </pivotField>
    <pivotField axis="axisRow" showAll="0">
      <items count="5">
        <item x="0"/>
        <item x="2"/>
        <item x="3"/>
        <item x="1"/>
        <item t="default"/>
      </items>
    </pivotField>
    <pivotField showAll="0">
      <items count="11">
        <item x="1"/>
        <item x="4"/>
        <item x="7"/>
        <item x="2"/>
        <item x="0"/>
        <item x="3"/>
        <item x="5"/>
        <item x="6"/>
        <item x="9"/>
        <item x="8"/>
        <item t="default"/>
      </items>
    </pivotField>
    <pivotField showAll="0"/>
    <pivotField showAll="0"/>
    <pivotField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Fields count="1">
    <field x="-2"/>
  </colFields>
  <colItems count="2">
    <i>
      <x/>
    </i>
    <i i="1">
      <x v="1"/>
    </i>
  </colItems>
  <dataFields count="2">
    <dataField name="Sum of Sales" fld="9" baseField="0" baseItem="0"/>
    <dataField name="Sum of Profit" fld="11"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B8262-2D18-42AA-AF00-CD335906DD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4">
    <pivotField showAll="0"/>
    <pivotField numFmtId="14" showAll="0">
      <items count="262">
        <item x="108"/>
        <item x="154"/>
        <item x="78"/>
        <item x="55"/>
        <item x="54"/>
        <item x="63"/>
        <item x="206"/>
        <item x="79"/>
        <item x="101"/>
        <item x="6"/>
        <item x="21"/>
        <item x="212"/>
        <item x="18"/>
        <item x="31"/>
        <item x="104"/>
        <item x="207"/>
        <item x="39"/>
        <item x="22"/>
        <item x="234"/>
        <item x="250"/>
        <item x="200"/>
        <item x="170"/>
        <item x="106"/>
        <item x="95"/>
        <item x="230"/>
        <item x="126"/>
        <item x="168"/>
        <item x="153"/>
        <item x="3"/>
        <item x="162"/>
        <item x="241"/>
        <item x="211"/>
        <item x="26"/>
        <item x="137"/>
        <item x="99"/>
        <item x="43"/>
        <item x="204"/>
        <item x="155"/>
        <item x="224"/>
        <item x="121"/>
        <item x="172"/>
        <item x="51"/>
        <item x="133"/>
        <item x="8"/>
        <item x="163"/>
        <item x="210"/>
        <item x="223"/>
        <item x="2"/>
        <item x="118"/>
        <item x="123"/>
        <item x="122"/>
        <item x="197"/>
        <item x="120"/>
        <item x="42"/>
        <item x="144"/>
        <item x="232"/>
        <item x="150"/>
        <item x="0"/>
        <item x="98"/>
        <item x="248"/>
        <item x="134"/>
        <item x="254"/>
        <item x="76"/>
        <item x="114"/>
        <item x="255"/>
        <item x="231"/>
        <item x="238"/>
        <item x="215"/>
        <item x="53"/>
        <item x="100"/>
        <item x="45"/>
        <item x="129"/>
        <item x="107"/>
        <item x="214"/>
        <item x="105"/>
        <item x="164"/>
        <item x="124"/>
        <item x="136"/>
        <item x="240"/>
        <item x="209"/>
        <item x="174"/>
        <item x="47"/>
        <item x="28"/>
        <item x="165"/>
        <item x="161"/>
        <item x="193"/>
        <item x="113"/>
        <item x="96"/>
        <item x="116"/>
        <item x="222"/>
        <item x="185"/>
        <item x="62"/>
        <item x="67"/>
        <item x="247"/>
        <item x="256"/>
        <item x="186"/>
        <item x="135"/>
        <item x="81"/>
        <item x="198"/>
        <item x="208"/>
        <item x="213"/>
        <item x="216"/>
        <item x="149"/>
        <item x="233"/>
        <item x="59"/>
        <item x="14"/>
        <item x="64"/>
        <item x="90"/>
        <item x="218"/>
        <item x="221"/>
        <item x="228"/>
        <item x="188"/>
        <item x="138"/>
        <item x="19"/>
        <item x="257"/>
        <item x="195"/>
        <item x="10"/>
        <item x="128"/>
        <item x="201"/>
        <item x="66"/>
        <item x="182"/>
        <item x="139"/>
        <item x="68"/>
        <item x="83"/>
        <item x="77"/>
        <item x="109"/>
        <item x="245"/>
        <item x="7"/>
        <item x="243"/>
        <item x="181"/>
        <item x="159"/>
        <item x="56"/>
        <item x="40"/>
        <item x="61"/>
        <item x="15"/>
        <item x="65"/>
        <item x="239"/>
        <item x="192"/>
        <item x="152"/>
        <item x="169"/>
        <item x="16"/>
        <item x="112"/>
        <item x="1"/>
        <item x="132"/>
        <item x="158"/>
        <item x="30"/>
        <item x="117"/>
        <item x="187"/>
        <item x="9"/>
        <item x="24"/>
        <item x="147"/>
        <item x="130"/>
        <item x="49"/>
        <item x="72"/>
        <item x="157"/>
        <item x="88"/>
        <item x="69"/>
        <item x="178"/>
        <item x="52"/>
        <item x="13"/>
        <item x="183"/>
        <item x="252"/>
        <item x="27"/>
        <item x="160"/>
        <item x="84"/>
        <item x="171"/>
        <item x="167"/>
        <item x="37"/>
        <item x="38"/>
        <item x="143"/>
        <item x="34"/>
        <item x="36"/>
        <item x="46"/>
        <item x="145"/>
        <item x="20"/>
        <item x="184"/>
        <item x="33"/>
        <item x="127"/>
        <item x="251"/>
        <item x="70"/>
        <item x="258"/>
        <item x="87"/>
        <item x="58"/>
        <item x="196"/>
        <item x="202"/>
        <item x="146"/>
        <item x="226"/>
        <item x="148"/>
        <item x="203"/>
        <item x="246"/>
        <item x="82"/>
        <item x="189"/>
        <item x="71"/>
        <item x="91"/>
        <item x="94"/>
        <item x="75"/>
        <item x="60"/>
        <item x="166"/>
        <item x="236"/>
        <item x="44"/>
        <item x="12"/>
        <item x="225"/>
        <item x="156"/>
        <item x="85"/>
        <item x="227"/>
        <item x="74"/>
        <item x="110"/>
        <item x="141"/>
        <item x="11"/>
        <item x="140"/>
        <item x="179"/>
        <item x="115"/>
        <item x="176"/>
        <item x="48"/>
        <item x="191"/>
        <item x="259"/>
        <item x="235"/>
        <item x="131"/>
        <item x="102"/>
        <item x="244"/>
        <item x="220"/>
        <item x="29"/>
        <item x="50"/>
        <item x="57"/>
        <item x="17"/>
        <item x="217"/>
        <item x="111"/>
        <item x="92"/>
        <item x="5"/>
        <item x="93"/>
        <item x="242"/>
        <item x="41"/>
        <item x="199"/>
        <item x="73"/>
        <item x="97"/>
        <item x="4"/>
        <item x="23"/>
        <item x="194"/>
        <item x="103"/>
        <item x="175"/>
        <item x="151"/>
        <item x="177"/>
        <item x="260"/>
        <item x="237"/>
        <item x="80"/>
        <item x="219"/>
        <item x="125"/>
        <item x="205"/>
        <item x="253"/>
        <item x="32"/>
        <item x="229"/>
        <item x="173"/>
        <item x="89"/>
        <item x="25"/>
        <item x="119"/>
        <item x="180"/>
        <item x="35"/>
        <item x="142"/>
        <item x="86"/>
        <item x="190"/>
        <item x="249"/>
        <item t="default"/>
      </items>
    </pivotField>
    <pivotField showAll="0"/>
    <pivotField showAll="0">
      <items count="5">
        <item x="3"/>
        <item x="1"/>
        <item x="0"/>
        <item x="2"/>
        <item t="default"/>
      </items>
    </pivotField>
    <pivotField showAll="0">
      <items count="5">
        <item x="0"/>
        <item x="2"/>
        <item x="3"/>
        <item x="1"/>
        <item t="default"/>
      </items>
    </pivotField>
    <pivotField axis="axisRow" showAll="0">
      <items count="11">
        <item x="1"/>
        <item x="4"/>
        <item x="7"/>
        <item x="2"/>
        <item x="0"/>
        <item x="3"/>
        <item x="5"/>
        <item x="6"/>
        <item x="9"/>
        <item x="8"/>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i>
    <i>
      <x v="1"/>
    </i>
    <i>
      <x v="2"/>
    </i>
    <i>
      <x v="3"/>
    </i>
    <i>
      <x v="4"/>
    </i>
    <i>
      <x v="5"/>
    </i>
    <i>
      <x v="6"/>
    </i>
    <i>
      <x v="7"/>
    </i>
    <i>
      <x v="8"/>
    </i>
    <i>
      <x v="9"/>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29E089-9810-4AD7-A5D0-05E6428237EB}" sourceName="Region">
  <pivotTables>
    <pivotTable tabId="6" name="PivotTable5"/>
    <pivotTable tabId="5" name="PivotTable4"/>
    <pivotTable tabId="2" name="PivotTable1"/>
    <pivotTable tabId="3" name="PivotTable2"/>
    <pivotTable tabId="4" name="PivotTable3"/>
  </pivotTables>
  <data>
    <tabular pivotCacheId="70457129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802B68-B600-490B-8FDE-E490F2CCF279}" sourceName="Category">
  <pivotTables>
    <pivotTable tabId="5" name="PivotTable4"/>
    <pivotTable tabId="2" name="PivotTable1"/>
    <pivotTable tabId="3" name="PivotTable2"/>
    <pivotTable tabId="6" name="PivotTable5"/>
    <pivotTable tabId="4" name="PivotTable3"/>
  </pivotTables>
  <data>
    <tabular pivotCacheId="704571294">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E278E4-5641-4EDA-BB14-7E611FF251E0}" sourceName="Product">
  <pivotTables>
    <pivotTable tabId="6" name="PivotTable5"/>
    <pivotTable tabId="5" name="PivotTable4"/>
    <pivotTable tabId="2" name="PivotTable1"/>
    <pivotTable tabId="3" name="PivotTable2"/>
    <pivotTable tabId="4" name="PivotTable3"/>
  </pivotTables>
  <data>
    <tabular pivotCacheId="704571294">
      <items count="10">
        <i x="1" s="1"/>
        <i x="4" s="1"/>
        <i x="7" s="1"/>
        <i x="2" s="1"/>
        <i x="0" s="1"/>
        <i x="3" s="1"/>
        <i x="5" s="1"/>
        <i x="6"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0EE5AF-3120-4DAC-8701-13F7B96E9B52}" cache="Slicer_Region" caption="Region" rowHeight="241200"/>
  <slicer name="Category" xr10:uid="{470F3118-9CE0-4DF1-A6E3-DBA836293E97}" cache="Slicer_Category" caption="Category" rowHeight="241200"/>
  <slicer name="Product" xr10:uid="{3DCD23D8-E72B-4131-A0ED-6A8B2383D785}" cache="Slicer_Product" caption="Product" startItem="1" rowHeight="241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580E06-B7A0-4D27-8840-5A38EBD255EA}" name="Table1" displayName="Table1" ref="A1:L500" totalsRowShown="0" headerRowDxfId="13" tableBorderDxfId="12">
  <autoFilter ref="A1:L500" xr:uid="{E6580E06-B7A0-4D27-8840-5A38EBD255EA}"/>
  <tableColumns count="12">
    <tableColumn id="1" xr3:uid="{873E684C-C562-427D-89EA-30D41D8BA6FA}" name="Order ID" dataDxfId="11"/>
    <tableColumn id="2" xr3:uid="{DC18BA5B-9188-448F-9A06-31F048F47D5F}" name="Order Date" dataDxfId="10"/>
    <tableColumn id="3" xr3:uid="{F090088A-DCB9-401A-9966-F3DDF6661341}" name="Customer" dataDxfId="9"/>
    <tableColumn id="4" xr3:uid="{C725D744-822F-4B7C-A434-9F9C75D25965}" name="Region" dataDxfId="8"/>
    <tableColumn id="5" xr3:uid="{C568F11A-9A53-490E-9803-EBD5A81BC347}" name="Category" dataDxfId="7"/>
    <tableColumn id="6" xr3:uid="{72BAF476-BA74-491C-B126-35FD7ED3A3BB}" name="Product" dataDxfId="6"/>
    <tableColumn id="7" xr3:uid="{1E88E0BD-2F89-4001-8C83-5C930C84F245}" name="Quantity" dataDxfId="5"/>
    <tableColumn id="8" xr3:uid="{90146A0E-C205-4398-A063-A1A38FEB68E4}" name="Unit Price" dataDxfId="4"/>
    <tableColumn id="9" xr3:uid="{0D2F429A-E658-4393-A70B-A9E210254894}" name="Discount" dataDxfId="3"/>
    <tableColumn id="10" xr3:uid="{4F28F529-B17B-49C7-8D2B-1FD6B7FF23CA}" name="Sales" dataDxfId="2"/>
    <tableColumn id="11" xr3:uid="{D1757592-180A-44C5-92B5-9D037B210745}" name="Cost" dataDxfId="1"/>
    <tableColumn id="12" xr3:uid="{36DC12C9-048E-4E37-A734-9C71248E8DD1}"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EC9E-C674-4092-AFDF-0D57EBBA3085}">
  <dimension ref="A3:D4"/>
  <sheetViews>
    <sheetView workbookViewId="0">
      <selection activeCell="A3" sqref="A3"/>
    </sheetView>
  </sheetViews>
  <sheetFormatPr defaultRowHeight="14.5" x14ac:dyDescent="0.35"/>
  <cols>
    <col min="1" max="1" width="15.81640625" bestFit="1" customWidth="1"/>
    <col min="2" max="2" width="11.81640625" bestFit="1" customWidth="1"/>
    <col min="3" max="3" width="11.26953125" bestFit="1" customWidth="1"/>
    <col min="4" max="4" width="14.54296875" bestFit="1" customWidth="1"/>
  </cols>
  <sheetData>
    <row r="3" spans="1:4" x14ac:dyDescent="0.35">
      <c r="A3" t="s">
        <v>1029</v>
      </c>
      <c r="B3" t="s">
        <v>1032</v>
      </c>
      <c r="C3" t="s">
        <v>1031</v>
      </c>
      <c r="D3" t="s">
        <v>1030</v>
      </c>
    </row>
    <row r="4" spans="1:4" x14ac:dyDescent="0.35">
      <c r="A4">
        <v>499</v>
      </c>
      <c r="B4">
        <v>12638544.314999999</v>
      </c>
      <c r="C4">
        <v>41556589.5</v>
      </c>
      <c r="D4">
        <v>2718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0C38A-22E7-4889-B8B5-195CD550E816}">
  <dimension ref="A3:B16"/>
  <sheetViews>
    <sheetView workbookViewId="0">
      <selection activeCell="A3" sqref="A3:B15"/>
    </sheetView>
  </sheetViews>
  <sheetFormatPr defaultRowHeight="14.5" x14ac:dyDescent="0.35"/>
  <cols>
    <col min="1" max="1" width="12.36328125" bestFit="1" customWidth="1"/>
    <col min="2" max="2" width="11.26953125" bestFit="1" customWidth="1"/>
  </cols>
  <sheetData>
    <row r="3" spans="1:2" x14ac:dyDescent="0.35">
      <c r="A3" s="6" t="s">
        <v>1027</v>
      </c>
      <c r="B3" t="s">
        <v>1031</v>
      </c>
    </row>
    <row r="4" spans="1:2" x14ac:dyDescent="0.35">
      <c r="A4" s="7" t="s">
        <v>1033</v>
      </c>
      <c r="B4">
        <v>2305769</v>
      </c>
    </row>
    <row r="5" spans="1:2" x14ac:dyDescent="0.35">
      <c r="A5" s="7" t="s">
        <v>1034</v>
      </c>
      <c r="B5">
        <v>3568285.5</v>
      </c>
    </row>
    <row r="6" spans="1:2" x14ac:dyDescent="0.35">
      <c r="A6" s="7" t="s">
        <v>1035</v>
      </c>
      <c r="B6">
        <v>3101413</v>
      </c>
    </row>
    <row r="7" spans="1:2" x14ac:dyDescent="0.35">
      <c r="A7" s="7" t="s">
        <v>1036</v>
      </c>
      <c r="B7">
        <v>2957757.5</v>
      </c>
    </row>
    <row r="8" spans="1:2" x14ac:dyDescent="0.35">
      <c r="A8" s="7" t="s">
        <v>1037</v>
      </c>
      <c r="B8">
        <v>3692279</v>
      </c>
    </row>
    <row r="9" spans="1:2" x14ac:dyDescent="0.35">
      <c r="A9" s="7" t="s">
        <v>1038</v>
      </c>
      <c r="B9">
        <v>3884327</v>
      </c>
    </row>
    <row r="10" spans="1:2" x14ac:dyDescent="0.35">
      <c r="A10" s="7" t="s">
        <v>1039</v>
      </c>
      <c r="B10">
        <v>3570854.5</v>
      </c>
    </row>
    <row r="11" spans="1:2" x14ac:dyDescent="0.35">
      <c r="A11" s="7" t="s">
        <v>1040</v>
      </c>
      <c r="B11">
        <v>3817878</v>
      </c>
    </row>
    <row r="12" spans="1:2" x14ac:dyDescent="0.35">
      <c r="A12" s="7" t="s">
        <v>1041</v>
      </c>
      <c r="B12">
        <v>4149001.5</v>
      </c>
    </row>
    <row r="13" spans="1:2" x14ac:dyDescent="0.35">
      <c r="A13" s="7" t="s">
        <v>1042</v>
      </c>
      <c r="B13">
        <v>2760577</v>
      </c>
    </row>
    <row r="14" spans="1:2" x14ac:dyDescent="0.35">
      <c r="A14" s="7" t="s">
        <v>1043</v>
      </c>
      <c r="B14">
        <v>2073147</v>
      </c>
    </row>
    <row r="15" spans="1:2" x14ac:dyDescent="0.35">
      <c r="A15" s="7" t="s">
        <v>1044</v>
      </c>
      <c r="B15">
        <v>5675300.5</v>
      </c>
    </row>
    <row r="16" spans="1:2" x14ac:dyDescent="0.35">
      <c r="A16" s="7" t="s">
        <v>1028</v>
      </c>
      <c r="B16">
        <v>41556589.5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D59E-30CA-4E17-BEA4-3113BC70E854}">
  <dimension ref="A3:B8"/>
  <sheetViews>
    <sheetView workbookViewId="0">
      <selection activeCell="B5" sqref="B5"/>
    </sheetView>
  </sheetViews>
  <sheetFormatPr defaultRowHeight="14.5" x14ac:dyDescent="0.35"/>
  <cols>
    <col min="1" max="1" width="12.36328125" bestFit="1" customWidth="1"/>
    <col min="2" max="2" width="11.26953125" bestFit="1" customWidth="1"/>
  </cols>
  <sheetData>
    <row r="3" spans="1:2" x14ac:dyDescent="0.35">
      <c r="A3" s="6" t="s">
        <v>1027</v>
      </c>
      <c r="B3" t="s">
        <v>1031</v>
      </c>
    </row>
    <row r="4" spans="1:2" x14ac:dyDescent="0.35">
      <c r="A4" s="7" t="s">
        <v>31</v>
      </c>
      <c r="B4">
        <v>9468324</v>
      </c>
    </row>
    <row r="5" spans="1:2" x14ac:dyDescent="0.35">
      <c r="A5" s="7" t="s">
        <v>17</v>
      </c>
      <c r="B5">
        <v>9112882</v>
      </c>
    </row>
    <row r="6" spans="1:2" x14ac:dyDescent="0.35">
      <c r="A6" s="7" t="s">
        <v>12</v>
      </c>
      <c r="B6">
        <v>11800020</v>
      </c>
    </row>
    <row r="7" spans="1:2" x14ac:dyDescent="0.35">
      <c r="A7" s="7" t="s">
        <v>22</v>
      </c>
      <c r="B7">
        <v>11175363.5</v>
      </c>
    </row>
    <row r="8" spans="1:2" x14ac:dyDescent="0.35">
      <c r="A8" s="7" t="s">
        <v>1028</v>
      </c>
      <c r="B8">
        <v>41556589.5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630A-CC35-4EE3-B816-F8F6215233F7}">
  <dimension ref="A3:C8"/>
  <sheetViews>
    <sheetView workbookViewId="0">
      <selection activeCell="B4" sqref="B4"/>
    </sheetView>
  </sheetViews>
  <sheetFormatPr defaultRowHeight="14.5" x14ac:dyDescent="0.35"/>
  <cols>
    <col min="1" max="1" width="13.1796875" bestFit="1" customWidth="1"/>
    <col min="2" max="2" width="11.26953125" bestFit="1" customWidth="1"/>
    <col min="3" max="3" width="11.81640625" bestFit="1" customWidth="1"/>
  </cols>
  <sheetData>
    <row r="3" spans="1:3" x14ac:dyDescent="0.35">
      <c r="A3" s="6" t="s">
        <v>1027</v>
      </c>
      <c r="B3" t="s">
        <v>1031</v>
      </c>
      <c r="C3" t="s">
        <v>1032</v>
      </c>
    </row>
    <row r="4" spans="1:3" x14ac:dyDescent="0.35">
      <c r="A4" s="7" t="s">
        <v>13</v>
      </c>
      <c r="B4">
        <v>12094883.5</v>
      </c>
      <c r="C4">
        <v>3711817.895</v>
      </c>
    </row>
    <row r="5" spans="1:3" x14ac:dyDescent="0.35">
      <c r="A5" s="7" t="s">
        <v>23</v>
      </c>
      <c r="B5">
        <v>10039359</v>
      </c>
      <c r="C5">
        <v>2961684.415</v>
      </c>
    </row>
    <row r="6" spans="1:3" x14ac:dyDescent="0.35">
      <c r="A6" s="7" t="s">
        <v>27</v>
      </c>
      <c r="B6">
        <v>9773498</v>
      </c>
      <c r="C6">
        <v>2980494.0150000001</v>
      </c>
    </row>
    <row r="7" spans="1:3" x14ac:dyDescent="0.35">
      <c r="A7" s="7" t="s">
        <v>18</v>
      </c>
      <c r="B7">
        <v>9648849</v>
      </c>
      <c r="C7">
        <v>2984547.9900000012</v>
      </c>
    </row>
    <row r="8" spans="1:3" x14ac:dyDescent="0.35">
      <c r="A8" s="7" t="s">
        <v>1028</v>
      </c>
      <c r="B8">
        <v>41556589.5</v>
      </c>
      <c r="C8">
        <v>12638544.315000001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39C6-8B17-4537-971D-EF0740F3CD4F}">
  <dimension ref="A3:B14"/>
  <sheetViews>
    <sheetView workbookViewId="0">
      <selection activeCell="A6" sqref="A4:A13"/>
      <pivotSelection pane="bottomRight" showHeader="1" axis="axisRow" activeRow="5" previousRow="5" click="1" r:id="rId1">
        <pivotArea dataOnly="0" labelOnly="1" fieldPosition="0">
          <references count="1">
            <reference field="5" count="0"/>
          </references>
        </pivotArea>
      </pivotSelection>
    </sheetView>
  </sheetViews>
  <sheetFormatPr defaultRowHeight="14.5" x14ac:dyDescent="0.35"/>
  <cols>
    <col min="1" max="1" width="12.36328125" bestFit="1" customWidth="1"/>
    <col min="2" max="2" width="11.26953125" bestFit="1" customWidth="1"/>
  </cols>
  <sheetData>
    <row r="3" spans="1:2" x14ac:dyDescent="0.35">
      <c r="A3" s="6" t="s">
        <v>1027</v>
      </c>
      <c r="B3" t="s">
        <v>1031</v>
      </c>
    </row>
    <row r="4" spans="1:2" x14ac:dyDescent="0.35">
      <c r="A4" s="7" t="s">
        <v>19</v>
      </c>
      <c r="B4">
        <v>524376</v>
      </c>
    </row>
    <row r="5" spans="1:2" x14ac:dyDescent="0.35">
      <c r="A5" s="7" t="s">
        <v>32</v>
      </c>
      <c r="B5">
        <v>3012000</v>
      </c>
    </row>
    <row r="6" spans="1:2" x14ac:dyDescent="0.35">
      <c r="A6" s="7" t="s">
        <v>51</v>
      </c>
      <c r="B6">
        <v>1058670</v>
      </c>
    </row>
    <row r="7" spans="1:2" x14ac:dyDescent="0.35">
      <c r="A7" s="7" t="s">
        <v>24</v>
      </c>
      <c r="B7">
        <v>533786</v>
      </c>
    </row>
    <row r="8" spans="1:2" x14ac:dyDescent="0.35">
      <c r="A8" s="7" t="s">
        <v>14</v>
      </c>
      <c r="B8">
        <v>18625100</v>
      </c>
    </row>
    <row r="9" spans="1:2" x14ac:dyDescent="0.35">
      <c r="A9" s="7" t="s">
        <v>28</v>
      </c>
      <c r="B9">
        <v>4560480</v>
      </c>
    </row>
    <row r="10" spans="1:2" x14ac:dyDescent="0.35">
      <c r="A10" s="7" t="s">
        <v>39</v>
      </c>
      <c r="B10">
        <v>66002.5</v>
      </c>
    </row>
    <row r="11" spans="1:2" x14ac:dyDescent="0.35">
      <c r="A11" s="7" t="s">
        <v>44</v>
      </c>
      <c r="B11">
        <v>3123000</v>
      </c>
    </row>
    <row r="12" spans="1:2" x14ac:dyDescent="0.35">
      <c r="A12" s="7" t="s">
        <v>81</v>
      </c>
      <c r="B12">
        <v>2221575</v>
      </c>
    </row>
    <row r="13" spans="1:2" x14ac:dyDescent="0.35">
      <c r="A13" s="7" t="s">
        <v>70</v>
      </c>
      <c r="B13">
        <v>7831600</v>
      </c>
    </row>
    <row r="14" spans="1:2" x14ac:dyDescent="0.35">
      <c r="A14" s="7" t="s">
        <v>1028</v>
      </c>
      <c r="B14">
        <v>41556589.5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D510-458F-403E-BEC1-3F297D03E37F}">
  <dimension ref="A1:A13"/>
  <sheetViews>
    <sheetView showGridLines="0" showRowColHeaders="0" tabSelected="1" workbookViewId="0">
      <selection activeCell="A21" sqref="A21"/>
    </sheetView>
  </sheetViews>
  <sheetFormatPr defaultRowHeight="14.5" x14ac:dyDescent="0.35"/>
  <cols>
    <col min="1" max="1" width="35.36328125" customWidth="1"/>
  </cols>
  <sheetData>
    <row r="1" spans="1:1" ht="28.5" x14ac:dyDescent="0.65">
      <c r="A1" s="8" t="s">
        <v>1046</v>
      </c>
    </row>
    <row r="3" spans="1:1" ht="15.5" x14ac:dyDescent="0.35">
      <c r="A3" s="9" t="s">
        <v>1047</v>
      </c>
    </row>
    <row r="4" spans="1:1" ht="21" x14ac:dyDescent="0.5">
      <c r="A4" s="10">
        <f>'KPI Pivot'!C4</f>
        <v>41556589.5</v>
      </c>
    </row>
    <row r="6" spans="1:1" x14ac:dyDescent="0.35">
      <c r="A6" s="14" t="s">
        <v>1048</v>
      </c>
    </row>
    <row r="7" spans="1:1" ht="21" x14ac:dyDescent="0.5">
      <c r="A7" s="13">
        <f>'KPI Pivot'!B4</f>
        <v>12638544.314999999</v>
      </c>
    </row>
    <row r="9" spans="1:1" ht="15.5" x14ac:dyDescent="0.35">
      <c r="A9" s="9" t="s">
        <v>1049</v>
      </c>
    </row>
    <row r="10" spans="1:1" ht="21" x14ac:dyDescent="0.5">
      <c r="A10" s="13">
        <f>'KPI Pivot'!A4</f>
        <v>499</v>
      </c>
    </row>
    <row r="12" spans="1:1" ht="15.5" x14ac:dyDescent="0.35">
      <c r="A12" s="11" t="s">
        <v>1050</v>
      </c>
    </row>
    <row r="13" spans="1:1" ht="21" x14ac:dyDescent="0.5">
      <c r="A13" s="12">
        <f>'KPI Pivot'!D4</f>
        <v>2718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D3C8B-518D-4224-A000-1CE419E5005C}">
  <dimension ref="A1:L500"/>
  <sheetViews>
    <sheetView workbookViewId="0">
      <selection activeCell="A2" sqref="A2"/>
    </sheetView>
  </sheetViews>
  <sheetFormatPr defaultRowHeight="14.5" x14ac:dyDescent="0.35"/>
  <cols>
    <col min="1" max="1" width="10.26953125" customWidth="1"/>
    <col min="2" max="2" width="12.1796875" customWidth="1"/>
    <col min="3" max="3" width="14.36328125" customWidth="1"/>
    <col min="4" max="4" width="10.26953125" customWidth="1"/>
    <col min="5" max="5" width="15" customWidth="1"/>
    <col min="6" max="6" width="13.1796875" customWidth="1"/>
    <col min="7" max="7" width="10.26953125" customWidth="1"/>
    <col min="8" max="8" width="10.90625" customWidth="1"/>
    <col min="9" max="9" width="10.26953125" customWidth="1"/>
    <col min="10" max="12" width="11.26953125" customWidth="1"/>
  </cols>
  <sheetData>
    <row r="1" spans="1:12" x14ac:dyDescent="0.35">
      <c r="A1" s="5" t="s">
        <v>1045</v>
      </c>
      <c r="B1" s="5" t="s">
        <v>0</v>
      </c>
      <c r="C1" s="5" t="s">
        <v>1</v>
      </c>
      <c r="D1" s="5" t="s">
        <v>2</v>
      </c>
      <c r="E1" s="5" t="s">
        <v>3</v>
      </c>
      <c r="F1" s="5" t="s">
        <v>4</v>
      </c>
      <c r="G1" s="5" t="s">
        <v>5</v>
      </c>
      <c r="H1" s="5" t="s">
        <v>1026</v>
      </c>
      <c r="I1" s="5" t="s">
        <v>6</v>
      </c>
      <c r="J1" s="5" t="s">
        <v>7</v>
      </c>
      <c r="K1" s="5" t="s">
        <v>8</v>
      </c>
      <c r="L1" s="5" t="s">
        <v>9</v>
      </c>
    </row>
    <row r="2" spans="1:12" x14ac:dyDescent="0.35">
      <c r="A2" s="3" t="s">
        <v>10</v>
      </c>
      <c r="B2" s="2">
        <v>45736</v>
      </c>
      <c r="C2" s="3" t="s">
        <v>11</v>
      </c>
      <c r="D2" s="3" t="s">
        <v>12</v>
      </c>
      <c r="E2" s="3" t="s">
        <v>13</v>
      </c>
      <c r="F2" s="3" t="s">
        <v>14</v>
      </c>
      <c r="G2" s="3">
        <v>5</v>
      </c>
      <c r="H2" s="3">
        <v>65000</v>
      </c>
      <c r="I2" s="3">
        <v>0.08</v>
      </c>
      <c r="J2" s="3">
        <v>299000</v>
      </c>
      <c r="K2" s="3">
        <v>230230</v>
      </c>
      <c r="L2" s="3">
        <v>68770</v>
      </c>
    </row>
    <row r="3" spans="1:12" x14ac:dyDescent="0.35">
      <c r="A3" s="1" t="s">
        <v>15</v>
      </c>
      <c r="B3" s="4">
        <v>45852</v>
      </c>
      <c r="C3" s="1" t="s">
        <v>16</v>
      </c>
      <c r="D3" s="1" t="s">
        <v>17</v>
      </c>
      <c r="E3" s="1" t="s">
        <v>18</v>
      </c>
      <c r="F3" s="1" t="s">
        <v>19</v>
      </c>
      <c r="G3" s="1">
        <v>8</v>
      </c>
      <c r="H3" s="1">
        <v>1800</v>
      </c>
      <c r="I3" s="1">
        <v>0.05</v>
      </c>
      <c r="J3" s="1">
        <v>13680</v>
      </c>
      <c r="K3" s="1">
        <v>9439.2000000000007</v>
      </c>
      <c r="L3" s="1">
        <v>4240.7999999999993</v>
      </c>
    </row>
    <row r="4" spans="1:12" x14ac:dyDescent="0.35">
      <c r="A4" s="3" t="s">
        <v>20</v>
      </c>
      <c r="B4" s="2">
        <v>45724</v>
      </c>
      <c r="C4" s="3" t="s">
        <v>21</v>
      </c>
      <c r="D4" s="3" t="s">
        <v>22</v>
      </c>
      <c r="E4" s="3" t="s">
        <v>23</v>
      </c>
      <c r="F4" s="3" t="s">
        <v>24</v>
      </c>
      <c r="G4" s="3">
        <v>10</v>
      </c>
      <c r="H4" s="3">
        <v>2200</v>
      </c>
      <c r="I4" s="3">
        <v>0.05</v>
      </c>
      <c r="J4" s="3">
        <v>20900</v>
      </c>
      <c r="K4" s="3">
        <v>15466</v>
      </c>
      <c r="L4" s="3">
        <v>5434</v>
      </c>
    </row>
    <row r="5" spans="1:12" x14ac:dyDescent="0.35">
      <c r="A5" s="1" t="s">
        <v>25</v>
      </c>
      <c r="B5" s="4">
        <v>45698</v>
      </c>
      <c r="C5" s="1" t="s">
        <v>26</v>
      </c>
      <c r="D5" s="1" t="s">
        <v>12</v>
      </c>
      <c r="E5" s="1" t="s">
        <v>27</v>
      </c>
      <c r="F5" s="1" t="s">
        <v>28</v>
      </c>
      <c r="G5" s="1">
        <v>1</v>
      </c>
      <c r="H5" s="1">
        <v>18000</v>
      </c>
      <c r="I5" s="1">
        <v>0.15</v>
      </c>
      <c r="J5" s="1">
        <v>15300</v>
      </c>
      <c r="K5" s="1">
        <v>12240</v>
      </c>
      <c r="L5" s="1">
        <v>3060</v>
      </c>
    </row>
    <row r="6" spans="1:12" x14ac:dyDescent="0.35">
      <c r="A6" s="3" t="s">
        <v>29</v>
      </c>
      <c r="B6" s="2">
        <v>45986</v>
      </c>
      <c r="C6" s="3" t="s">
        <v>30</v>
      </c>
      <c r="D6" s="3" t="s">
        <v>31</v>
      </c>
      <c r="E6" s="3" t="s">
        <v>18</v>
      </c>
      <c r="F6" s="3" t="s">
        <v>32</v>
      </c>
      <c r="G6" s="3">
        <v>3</v>
      </c>
      <c r="H6" s="3">
        <v>15000</v>
      </c>
      <c r="I6" s="3">
        <v>0.1</v>
      </c>
      <c r="J6" s="3">
        <v>40500</v>
      </c>
      <c r="K6" s="3">
        <v>28755</v>
      </c>
      <c r="L6" s="3">
        <v>11745</v>
      </c>
    </row>
    <row r="7" spans="1:12" x14ac:dyDescent="0.35">
      <c r="A7" s="1" t="s">
        <v>33</v>
      </c>
      <c r="B7" s="4">
        <v>45986</v>
      </c>
      <c r="C7" s="1" t="s">
        <v>34</v>
      </c>
      <c r="D7" s="1" t="s">
        <v>22</v>
      </c>
      <c r="E7" s="1" t="s">
        <v>18</v>
      </c>
      <c r="F7" s="1" t="s">
        <v>24</v>
      </c>
      <c r="G7" s="1">
        <v>3</v>
      </c>
      <c r="H7" s="1">
        <v>2200</v>
      </c>
      <c r="I7" s="1">
        <v>0</v>
      </c>
      <c r="J7" s="1">
        <v>6600</v>
      </c>
      <c r="K7" s="1">
        <v>4488</v>
      </c>
      <c r="L7" s="1">
        <v>2112</v>
      </c>
    </row>
    <row r="8" spans="1:12" x14ac:dyDescent="0.35">
      <c r="A8" s="3" t="s">
        <v>35</v>
      </c>
      <c r="B8" s="2">
        <v>45974</v>
      </c>
      <c r="C8" s="3" t="s">
        <v>36</v>
      </c>
      <c r="D8" s="3" t="s">
        <v>22</v>
      </c>
      <c r="E8" s="3" t="s">
        <v>23</v>
      </c>
      <c r="F8" s="3" t="s">
        <v>19</v>
      </c>
      <c r="G8" s="3">
        <v>1</v>
      </c>
      <c r="H8" s="3">
        <v>1800</v>
      </c>
      <c r="I8" s="3">
        <v>0</v>
      </c>
      <c r="J8" s="3">
        <v>1800</v>
      </c>
      <c r="K8" s="3">
        <v>1386</v>
      </c>
      <c r="L8" s="3">
        <v>414</v>
      </c>
    </row>
    <row r="9" spans="1:12" x14ac:dyDescent="0.35">
      <c r="A9" s="1" t="s">
        <v>37</v>
      </c>
      <c r="B9" s="4">
        <v>45670</v>
      </c>
      <c r="C9" s="1" t="s">
        <v>38</v>
      </c>
      <c r="D9" s="1" t="s">
        <v>31</v>
      </c>
      <c r="E9" s="1" t="s">
        <v>23</v>
      </c>
      <c r="F9" s="1" t="s">
        <v>39</v>
      </c>
      <c r="G9" s="1">
        <v>2</v>
      </c>
      <c r="H9" s="1">
        <v>250</v>
      </c>
      <c r="I9" s="1">
        <v>0.05</v>
      </c>
      <c r="J9" s="1">
        <v>475</v>
      </c>
      <c r="K9" s="1">
        <v>370.5</v>
      </c>
      <c r="L9" s="1">
        <v>104.5</v>
      </c>
    </row>
    <row r="10" spans="1:12" x14ac:dyDescent="0.35">
      <c r="A10" s="3" t="s">
        <v>40</v>
      </c>
      <c r="B10" s="2">
        <v>45835</v>
      </c>
      <c r="C10" s="3" t="s">
        <v>41</v>
      </c>
      <c r="D10" s="3" t="s">
        <v>22</v>
      </c>
      <c r="E10" s="3" t="s">
        <v>18</v>
      </c>
      <c r="F10" s="3" t="s">
        <v>19</v>
      </c>
      <c r="G10" s="3">
        <v>6</v>
      </c>
      <c r="H10" s="3">
        <v>1800</v>
      </c>
      <c r="I10" s="3">
        <v>0.02</v>
      </c>
      <c r="J10" s="3">
        <v>10584</v>
      </c>
      <c r="K10" s="3">
        <v>8149.68</v>
      </c>
      <c r="L10" s="3">
        <v>2434.3199999999997</v>
      </c>
    </row>
    <row r="11" spans="1:12" x14ac:dyDescent="0.35">
      <c r="A11" s="1" t="s">
        <v>42</v>
      </c>
      <c r="B11" s="4">
        <v>45719</v>
      </c>
      <c r="C11" s="1" t="s">
        <v>43</v>
      </c>
      <c r="D11" s="1" t="s">
        <v>31</v>
      </c>
      <c r="E11" s="1" t="s">
        <v>18</v>
      </c>
      <c r="F11" s="1" t="s">
        <v>44</v>
      </c>
      <c r="G11" s="1">
        <v>4</v>
      </c>
      <c r="H11" s="1">
        <v>12500</v>
      </c>
      <c r="I11" s="1">
        <v>0</v>
      </c>
      <c r="J11" s="1">
        <v>50000</v>
      </c>
      <c r="K11" s="1">
        <v>33500</v>
      </c>
      <c r="L11" s="1">
        <v>16500</v>
      </c>
    </row>
    <row r="12" spans="1:12" x14ac:dyDescent="0.35">
      <c r="A12" s="3" t="s">
        <v>45</v>
      </c>
      <c r="B12" s="2">
        <v>45858</v>
      </c>
      <c r="C12" s="3" t="s">
        <v>46</v>
      </c>
      <c r="D12" s="3" t="s">
        <v>22</v>
      </c>
      <c r="E12" s="3" t="s">
        <v>27</v>
      </c>
      <c r="F12" s="3" t="s">
        <v>28</v>
      </c>
      <c r="G12" s="3">
        <v>6</v>
      </c>
      <c r="H12" s="3">
        <v>18000</v>
      </c>
      <c r="I12" s="3">
        <v>0.05</v>
      </c>
      <c r="J12" s="3">
        <v>102600</v>
      </c>
      <c r="K12" s="3">
        <v>72846</v>
      </c>
      <c r="L12" s="3">
        <v>29754</v>
      </c>
    </row>
    <row r="13" spans="1:12" x14ac:dyDescent="0.35">
      <c r="A13" s="1" t="s">
        <v>47</v>
      </c>
      <c r="B13" s="4">
        <v>45821</v>
      </c>
      <c r="C13" s="1" t="s">
        <v>48</v>
      </c>
      <c r="D13" s="1" t="s">
        <v>12</v>
      </c>
      <c r="E13" s="1" t="s">
        <v>27</v>
      </c>
      <c r="F13" s="1" t="s">
        <v>14</v>
      </c>
      <c r="G13" s="1">
        <v>6</v>
      </c>
      <c r="H13" s="1">
        <v>65000</v>
      </c>
      <c r="I13" s="1">
        <v>0.15</v>
      </c>
      <c r="J13" s="1">
        <v>331500</v>
      </c>
      <c r="K13" s="1">
        <v>255255</v>
      </c>
      <c r="L13" s="1">
        <v>76245</v>
      </c>
    </row>
    <row r="14" spans="1:12" x14ac:dyDescent="0.35">
      <c r="A14" s="3" t="s">
        <v>49</v>
      </c>
      <c r="B14" s="2">
        <v>45944</v>
      </c>
      <c r="C14" s="3" t="s">
        <v>50</v>
      </c>
      <c r="D14" s="3" t="s">
        <v>31</v>
      </c>
      <c r="E14" s="3" t="s">
        <v>23</v>
      </c>
      <c r="F14" s="3" t="s">
        <v>51</v>
      </c>
      <c r="G14" s="3">
        <v>5</v>
      </c>
      <c r="H14" s="3">
        <v>4500</v>
      </c>
      <c r="I14" s="3">
        <v>0.08</v>
      </c>
      <c r="J14" s="3">
        <v>20700</v>
      </c>
      <c r="K14" s="3">
        <v>15318</v>
      </c>
      <c r="L14" s="3">
        <v>5382</v>
      </c>
    </row>
    <row r="15" spans="1:12" x14ac:dyDescent="0.35">
      <c r="A15" s="1" t="s">
        <v>52</v>
      </c>
      <c r="B15" s="4">
        <v>45935</v>
      </c>
      <c r="C15" s="1" t="s">
        <v>53</v>
      </c>
      <c r="D15" s="1" t="s">
        <v>12</v>
      </c>
      <c r="E15" s="1" t="s">
        <v>23</v>
      </c>
      <c r="F15" s="1" t="s">
        <v>19</v>
      </c>
      <c r="G15" s="1">
        <v>1</v>
      </c>
      <c r="H15" s="1">
        <v>1800</v>
      </c>
      <c r="I15" s="1">
        <v>0.15</v>
      </c>
      <c r="J15" s="1">
        <v>1530</v>
      </c>
      <c r="K15" s="1">
        <v>1162.8</v>
      </c>
      <c r="L15" s="1">
        <v>367.20000000000005</v>
      </c>
    </row>
    <row r="16" spans="1:12" x14ac:dyDescent="0.35">
      <c r="A16" s="3" t="s">
        <v>54</v>
      </c>
      <c r="B16" s="2">
        <v>45875</v>
      </c>
      <c r="C16" s="3" t="s">
        <v>55</v>
      </c>
      <c r="D16" s="3" t="s">
        <v>31</v>
      </c>
      <c r="E16" s="3" t="s">
        <v>18</v>
      </c>
      <c r="F16" s="3" t="s">
        <v>51</v>
      </c>
      <c r="G16" s="3">
        <v>1</v>
      </c>
      <c r="H16" s="3">
        <v>4500</v>
      </c>
      <c r="I16" s="3">
        <v>0.02</v>
      </c>
      <c r="J16" s="3">
        <v>4410</v>
      </c>
      <c r="K16" s="3">
        <v>2822.4</v>
      </c>
      <c r="L16" s="3">
        <v>1587.6</v>
      </c>
    </row>
    <row r="17" spans="1:12" x14ac:dyDescent="0.35">
      <c r="A17" s="1" t="s">
        <v>56</v>
      </c>
      <c r="B17" s="4">
        <v>45809</v>
      </c>
      <c r="C17" s="1" t="s">
        <v>57</v>
      </c>
      <c r="D17" s="1" t="s">
        <v>12</v>
      </c>
      <c r="E17" s="1" t="s">
        <v>27</v>
      </c>
      <c r="F17" s="1" t="s">
        <v>39</v>
      </c>
      <c r="G17" s="1">
        <v>2</v>
      </c>
      <c r="H17" s="1">
        <v>250</v>
      </c>
      <c r="I17" s="1">
        <v>0.1</v>
      </c>
      <c r="J17" s="1">
        <v>450</v>
      </c>
      <c r="K17" s="1">
        <v>337.5</v>
      </c>
      <c r="L17" s="1">
        <v>112.5</v>
      </c>
    </row>
    <row r="18" spans="1:12" x14ac:dyDescent="0.35">
      <c r="A18" s="3" t="s">
        <v>58</v>
      </c>
      <c r="B18" s="2">
        <v>45844</v>
      </c>
      <c r="C18" s="3" t="s">
        <v>59</v>
      </c>
      <c r="D18" s="3" t="s">
        <v>12</v>
      </c>
      <c r="E18" s="3" t="s">
        <v>27</v>
      </c>
      <c r="F18" s="3" t="s">
        <v>32</v>
      </c>
      <c r="G18" s="3">
        <v>1</v>
      </c>
      <c r="H18" s="3">
        <v>15000</v>
      </c>
      <c r="I18" s="3">
        <v>0.02</v>
      </c>
      <c r="J18" s="3">
        <v>14700</v>
      </c>
      <c r="K18" s="3">
        <v>8820</v>
      </c>
      <c r="L18" s="3">
        <v>5880</v>
      </c>
    </row>
    <row r="19" spans="1:12" x14ac:dyDescent="0.35">
      <c r="A19" s="1" t="s">
        <v>60</v>
      </c>
      <c r="B19" s="4">
        <v>45850</v>
      </c>
      <c r="C19" s="1" t="s">
        <v>61</v>
      </c>
      <c r="D19" s="1" t="s">
        <v>22</v>
      </c>
      <c r="E19" s="1" t="s">
        <v>27</v>
      </c>
      <c r="F19" s="1" t="s">
        <v>51</v>
      </c>
      <c r="G19" s="1">
        <v>4</v>
      </c>
      <c r="H19" s="1">
        <v>4500</v>
      </c>
      <c r="I19" s="1">
        <v>0.02</v>
      </c>
      <c r="J19" s="1">
        <v>17640</v>
      </c>
      <c r="K19" s="1">
        <v>13053.6</v>
      </c>
      <c r="L19" s="1">
        <v>4586.3999999999996</v>
      </c>
    </row>
    <row r="20" spans="1:12" x14ac:dyDescent="0.35">
      <c r="A20" s="3" t="s">
        <v>62</v>
      </c>
      <c r="B20" s="2">
        <v>45968</v>
      </c>
      <c r="C20" s="3" t="s">
        <v>63</v>
      </c>
      <c r="D20" s="3" t="s">
        <v>12</v>
      </c>
      <c r="E20" s="3" t="s">
        <v>13</v>
      </c>
      <c r="F20" s="3" t="s">
        <v>32</v>
      </c>
      <c r="G20" s="3">
        <v>5</v>
      </c>
      <c r="H20" s="3">
        <v>15000</v>
      </c>
      <c r="I20" s="3">
        <v>0.1</v>
      </c>
      <c r="J20" s="3">
        <v>67500</v>
      </c>
      <c r="K20" s="3">
        <v>47250</v>
      </c>
      <c r="L20" s="3">
        <v>20250</v>
      </c>
    </row>
    <row r="21" spans="1:12" x14ac:dyDescent="0.35">
      <c r="A21" s="1" t="s">
        <v>64</v>
      </c>
      <c r="B21" s="4">
        <v>45676</v>
      </c>
      <c r="C21" s="1" t="s">
        <v>65</v>
      </c>
      <c r="D21" s="1" t="s">
        <v>31</v>
      </c>
      <c r="E21" s="1" t="s">
        <v>18</v>
      </c>
      <c r="F21" s="1" t="s">
        <v>44</v>
      </c>
      <c r="G21" s="1">
        <v>8</v>
      </c>
      <c r="H21" s="1">
        <v>12500</v>
      </c>
      <c r="I21" s="1">
        <v>0.02</v>
      </c>
      <c r="J21" s="1">
        <v>98000</v>
      </c>
      <c r="K21" s="1">
        <v>72520</v>
      </c>
      <c r="L21" s="1">
        <v>25480</v>
      </c>
    </row>
    <row r="22" spans="1:12" x14ac:dyDescent="0.35">
      <c r="A22" s="3" t="s">
        <v>66</v>
      </c>
      <c r="B22" s="2">
        <v>45817</v>
      </c>
      <c r="C22" s="3" t="s">
        <v>67</v>
      </c>
      <c r="D22" s="3" t="s">
        <v>12</v>
      </c>
      <c r="E22" s="3" t="s">
        <v>27</v>
      </c>
      <c r="F22" s="3" t="s">
        <v>24</v>
      </c>
      <c r="G22" s="3">
        <v>3</v>
      </c>
      <c r="H22" s="3">
        <v>2200</v>
      </c>
      <c r="I22" s="3">
        <v>0.05</v>
      </c>
      <c r="J22" s="3">
        <v>6270</v>
      </c>
      <c r="K22" s="3">
        <v>3950.1</v>
      </c>
      <c r="L22" s="3">
        <v>2319.9</v>
      </c>
    </row>
    <row r="23" spans="1:12" x14ac:dyDescent="0.35">
      <c r="A23" s="1" t="s">
        <v>68</v>
      </c>
      <c r="B23" s="4">
        <v>45893</v>
      </c>
      <c r="C23" s="1" t="s">
        <v>69</v>
      </c>
      <c r="D23" s="1" t="s">
        <v>22</v>
      </c>
      <c r="E23" s="1" t="s">
        <v>23</v>
      </c>
      <c r="F23" s="1" t="s">
        <v>70</v>
      </c>
      <c r="G23" s="1">
        <v>8</v>
      </c>
      <c r="H23" s="1">
        <v>28000</v>
      </c>
      <c r="I23" s="1">
        <v>0.1</v>
      </c>
      <c r="J23" s="1">
        <v>201600</v>
      </c>
      <c r="K23" s="1">
        <v>155232</v>
      </c>
      <c r="L23" s="1">
        <v>46368</v>
      </c>
    </row>
    <row r="24" spans="1:12" x14ac:dyDescent="0.35">
      <c r="A24" s="3" t="s">
        <v>71</v>
      </c>
      <c r="B24" s="2">
        <v>45672</v>
      </c>
      <c r="C24" s="3" t="s">
        <v>72</v>
      </c>
      <c r="D24" s="3" t="s">
        <v>12</v>
      </c>
      <c r="E24" s="3" t="s">
        <v>27</v>
      </c>
      <c r="F24" s="3" t="s">
        <v>44</v>
      </c>
      <c r="G24" s="3">
        <v>8</v>
      </c>
      <c r="H24" s="3">
        <v>12500</v>
      </c>
      <c r="I24" s="3">
        <v>0.02</v>
      </c>
      <c r="J24" s="3">
        <v>98000</v>
      </c>
      <c r="K24" s="3">
        <v>72520</v>
      </c>
      <c r="L24" s="3">
        <v>25480</v>
      </c>
    </row>
    <row r="25" spans="1:12" x14ac:dyDescent="0.35">
      <c r="A25" s="1" t="s">
        <v>73</v>
      </c>
      <c r="B25" s="4">
        <v>45681</v>
      </c>
      <c r="C25" s="1" t="s">
        <v>74</v>
      </c>
      <c r="D25" s="1" t="s">
        <v>12</v>
      </c>
      <c r="E25" s="1" t="s">
        <v>23</v>
      </c>
      <c r="F25" s="1" t="s">
        <v>28</v>
      </c>
      <c r="G25" s="1">
        <v>10</v>
      </c>
      <c r="H25" s="1">
        <v>18000</v>
      </c>
      <c r="I25" s="1">
        <v>0.02</v>
      </c>
      <c r="J25" s="1">
        <v>176400</v>
      </c>
      <c r="K25" s="1">
        <v>139356</v>
      </c>
      <c r="L25" s="1">
        <v>37044</v>
      </c>
    </row>
    <row r="26" spans="1:12" x14ac:dyDescent="0.35">
      <c r="A26" s="3" t="s">
        <v>75</v>
      </c>
      <c r="B26" s="2">
        <v>45988</v>
      </c>
      <c r="C26" s="3" t="s">
        <v>76</v>
      </c>
      <c r="D26" s="3" t="s">
        <v>17</v>
      </c>
      <c r="E26" s="3" t="s">
        <v>23</v>
      </c>
      <c r="F26" s="3" t="s">
        <v>28</v>
      </c>
      <c r="G26" s="3">
        <v>4</v>
      </c>
      <c r="H26" s="3">
        <v>18000</v>
      </c>
      <c r="I26" s="3">
        <v>0</v>
      </c>
      <c r="J26" s="3">
        <v>72000</v>
      </c>
      <c r="K26" s="3">
        <v>54000</v>
      </c>
      <c r="L26" s="3">
        <v>18000</v>
      </c>
    </row>
    <row r="27" spans="1:12" x14ac:dyDescent="0.35">
      <c r="A27" s="1" t="s">
        <v>77</v>
      </c>
      <c r="B27" s="4">
        <v>45859</v>
      </c>
      <c r="C27" s="1" t="s">
        <v>78</v>
      </c>
      <c r="D27" s="1" t="s">
        <v>31</v>
      </c>
      <c r="E27" s="1" t="s">
        <v>27</v>
      </c>
      <c r="F27" s="1" t="s">
        <v>28</v>
      </c>
      <c r="G27" s="1">
        <v>6</v>
      </c>
      <c r="H27" s="1">
        <v>18000</v>
      </c>
      <c r="I27" s="1">
        <v>0.02</v>
      </c>
      <c r="J27" s="1">
        <v>105840</v>
      </c>
      <c r="K27" s="1">
        <v>81496.800000000003</v>
      </c>
      <c r="L27" s="1">
        <v>24343.199999999997</v>
      </c>
    </row>
    <row r="28" spans="1:12" x14ac:dyDescent="0.35">
      <c r="A28" s="3" t="s">
        <v>79</v>
      </c>
      <c r="B28" s="2">
        <v>46012</v>
      </c>
      <c r="C28" s="3" t="s">
        <v>80</v>
      </c>
      <c r="D28" s="3" t="s">
        <v>17</v>
      </c>
      <c r="E28" s="3" t="s">
        <v>27</v>
      </c>
      <c r="F28" s="3" t="s">
        <v>81</v>
      </c>
      <c r="G28" s="3">
        <v>8</v>
      </c>
      <c r="H28" s="3">
        <v>9500</v>
      </c>
      <c r="I28" s="3">
        <v>0.05</v>
      </c>
      <c r="J28" s="3">
        <v>72200</v>
      </c>
      <c r="K28" s="3">
        <v>44764</v>
      </c>
      <c r="L28" s="3">
        <v>27436</v>
      </c>
    </row>
    <row r="29" spans="1:12" x14ac:dyDescent="0.35">
      <c r="A29" s="1" t="s">
        <v>82</v>
      </c>
      <c r="B29" s="4">
        <v>45703</v>
      </c>
      <c r="C29" s="1" t="s">
        <v>83</v>
      </c>
      <c r="D29" s="1" t="s">
        <v>17</v>
      </c>
      <c r="E29" s="1" t="s">
        <v>27</v>
      </c>
      <c r="F29" s="1" t="s">
        <v>39</v>
      </c>
      <c r="G29" s="1">
        <v>5</v>
      </c>
      <c r="H29" s="1">
        <v>250</v>
      </c>
      <c r="I29" s="1">
        <v>0.15</v>
      </c>
      <c r="J29" s="1">
        <v>1062.5</v>
      </c>
      <c r="K29" s="1">
        <v>669.375</v>
      </c>
      <c r="L29" s="1">
        <v>393.125</v>
      </c>
    </row>
    <row r="30" spans="1:12" x14ac:dyDescent="0.35">
      <c r="A30" s="3" t="s">
        <v>84</v>
      </c>
      <c r="B30" s="2">
        <v>45879</v>
      </c>
      <c r="C30" s="3" t="s">
        <v>85</v>
      </c>
      <c r="D30" s="3" t="s">
        <v>12</v>
      </c>
      <c r="E30" s="3" t="s">
        <v>13</v>
      </c>
      <c r="F30" s="3" t="s">
        <v>28</v>
      </c>
      <c r="G30" s="3">
        <v>6</v>
      </c>
      <c r="H30" s="3">
        <v>18000</v>
      </c>
      <c r="I30" s="3">
        <v>0.1</v>
      </c>
      <c r="J30" s="3">
        <v>97200</v>
      </c>
      <c r="K30" s="3">
        <v>59292</v>
      </c>
      <c r="L30" s="3">
        <v>37908</v>
      </c>
    </row>
    <row r="31" spans="1:12" x14ac:dyDescent="0.35">
      <c r="A31" s="1" t="s">
        <v>86</v>
      </c>
      <c r="B31" s="4">
        <v>45774</v>
      </c>
      <c r="C31" s="1" t="s">
        <v>87</v>
      </c>
      <c r="D31" s="1" t="s">
        <v>31</v>
      </c>
      <c r="E31" s="1" t="s">
        <v>18</v>
      </c>
      <c r="F31" s="1" t="s">
        <v>19</v>
      </c>
      <c r="G31" s="1">
        <v>1</v>
      </c>
      <c r="H31" s="1">
        <v>1800</v>
      </c>
      <c r="I31" s="1">
        <v>0</v>
      </c>
      <c r="J31" s="1">
        <v>1800</v>
      </c>
      <c r="K31" s="1">
        <v>1224</v>
      </c>
      <c r="L31" s="1">
        <v>576</v>
      </c>
    </row>
    <row r="32" spans="1:12" x14ac:dyDescent="0.35">
      <c r="A32" s="3" t="s">
        <v>88</v>
      </c>
      <c r="B32" s="2">
        <v>45964</v>
      </c>
      <c r="C32" s="3" t="s">
        <v>89</v>
      </c>
      <c r="D32" s="3" t="s">
        <v>22</v>
      </c>
      <c r="E32" s="3" t="s">
        <v>18</v>
      </c>
      <c r="F32" s="3" t="s">
        <v>39</v>
      </c>
      <c r="G32" s="3">
        <v>8</v>
      </c>
      <c r="H32" s="3">
        <v>250</v>
      </c>
      <c r="I32" s="3">
        <v>0.1</v>
      </c>
      <c r="J32" s="3">
        <v>1800</v>
      </c>
      <c r="K32" s="3">
        <v>1206</v>
      </c>
      <c r="L32" s="3">
        <v>594</v>
      </c>
    </row>
    <row r="33" spans="1:12" x14ac:dyDescent="0.35">
      <c r="A33" s="1" t="s">
        <v>90</v>
      </c>
      <c r="B33" s="4">
        <v>45855</v>
      </c>
      <c r="C33" s="1" t="s">
        <v>91</v>
      </c>
      <c r="D33" s="1" t="s">
        <v>22</v>
      </c>
      <c r="E33" s="1" t="s">
        <v>18</v>
      </c>
      <c r="F33" s="1" t="s">
        <v>19</v>
      </c>
      <c r="G33" s="1">
        <v>5</v>
      </c>
      <c r="H33" s="1">
        <v>1800</v>
      </c>
      <c r="I33" s="1">
        <v>0.08</v>
      </c>
      <c r="J33" s="1">
        <v>8280</v>
      </c>
      <c r="K33" s="1">
        <v>5547.6</v>
      </c>
      <c r="L33" s="1">
        <v>2732.3999999999996</v>
      </c>
    </row>
    <row r="34" spans="1:12" x14ac:dyDescent="0.35">
      <c r="A34" s="3" t="s">
        <v>92</v>
      </c>
      <c r="B34" s="2">
        <v>45677</v>
      </c>
      <c r="C34" s="3" t="s">
        <v>93</v>
      </c>
      <c r="D34" s="3" t="s">
        <v>17</v>
      </c>
      <c r="E34" s="3" t="s">
        <v>27</v>
      </c>
      <c r="F34" s="3" t="s">
        <v>39</v>
      </c>
      <c r="G34" s="3">
        <v>4</v>
      </c>
      <c r="H34" s="3">
        <v>250</v>
      </c>
      <c r="I34" s="3">
        <v>0.1</v>
      </c>
      <c r="J34" s="3">
        <v>900</v>
      </c>
      <c r="K34" s="3">
        <v>639</v>
      </c>
      <c r="L34" s="3">
        <v>261</v>
      </c>
    </row>
    <row r="35" spans="1:12" x14ac:dyDescent="0.35">
      <c r="A35" s="1" t="s">
        <v>94</v>
      </c>
      <c r="B35" s="4">
        <v>46007</v>
      </c>
      <c r="C35" s="1" t="s">
        <v>95</v>
      </c>
      <c r="D35" s="1" t="s">
        <v>12</v>
      </c>
      <c r="E35" s="1" t="s">
        <v>18</v>
      </c>
      <c r="F35" s="1" t="s">
        <v>24</v>
      </c>
      <c r="G35" s="1">
        <v>8</v>
      </c>
      <c r="H35" s="1">
        <v>2200</v>
      </c>
      <c r="I35" s="1">
        <v>0.05</v>
      </c>
      <c r="J35" s="1">
        <v>16720</v>
      </c>
      <c r="K35" s="1">
        <v>12205.6</v>
      </c>
      <c r="L35" s="1">
        <v>4514.3999999999996</v>
      </c>
    </row>
    <row r="36" spans="1:12" x14ac:dyDescent="0.35">
      <c r="A36" s="3" t="s">
        <v>96</v>
      </c>
      <c r="B36" s="2">
        <v>45896</v>
      </c>
      <c r="C36" s="3" t="s">
        <v>97</v>
      </c>
      <c r="D36" s="3" t="s">
        <v>12</v>
      </c>
      <c r="E36" s="3" t="s">
        <v>23</v>
      </c>
      <c r="F36" s="3" t="s">
        <v>70</v>
      </c>
      <c r="G36" s="3">
        <v>8</v>
      </c>
      <c r="H36" s="3">
        <v>28000</v>
      </c>
      <c r="I36" s="3">
        <v>0.02</v>
      </c>
      <c r="J36" s="3">
        <v>219520</v>
      </c>
      <c r="K36" s="3">
        <v>149273.60000000001</v>
      </c>
      <c r="L36" s="3">
        <v>70246.399999999994</v>
      </c>
    </row>
    <row r="37" spans="1:12" x14ac:dyDescent="0.35">
      <c r="A37" s="1" t="s">
        <v>98</v>
      </c>
      <c r="B37" s="4">
        <v>45889</v>
      </c>
      <c r="C37" s="1" t="s">
        <v>99</v>
      </c>
      <c r="D37" s="1" t="s">
        <v>22</v>
      </c>
      <c r="E37" s="1" t="s">
        <v>23</v>
      </c>
      <c r="F37" s="1" t="s">
        <v>44</v>
      </c>
      <c r="G37" s="1">
        <v>6</v>
      </c>
      <c r="H37" s="1">
        <v>12500</v>
      </c>
      <c r="I37" s="1">
        <v>0.05</v>
      </c>
      <c r="J37" s="1">
        <v>71250</v>
      </c>
      <c r="K37" s="1">
        <v>44887.5</v>
      </c>
      <c r="L37" s="1">
        <v>26362.5</v>
      </c>
    </row>
    <row r="38" spans="1:12" x14ac:dyDescent="0.35">
      <c r="A38" s="3" t="s">
        <v>100</v>
      </c>
      <c r="B38" s="2">
        <v>46015</v>
      </c>
      <c r="C38" s="3" t="s">
        <v>101</v>
      </c>
      <c r="D38" s="3" t="s">
        <v>31</v>
      </c>
      <c r="E38" s="3" t="s">
        <v>23</v>
      </c>
      <c r="F38" s="3" t="s">
        <v>81</v>
      </c>
      <c r="G38" s="3">
        <v>4</v>
      </c>
      <c r="H38" s="3">
        <v>9500</v>
      </c>
      <c r="I38" s="3">
        <v>0.08</v>
      </c>
      <c r="J38" s="3">
        <v>34960</v>
      </c>
      <c r="K38" s="3">
        <v>22724</v>
      </c>
      <c r="L38" s="3">
        <v>12236</v>
      </c>
    </row>
    <row r="39" spans="1:12" x14ac:dyDescent="0.35">
      <c r="A39" s="1" t="s">
        <v>102</v>
      </c>
      <c r="B39" s="4">
        <v>45890</v>
      </c>
      <c r="C39" s="1" t="s">
        <v>103</v>
      </c>
      <c r="D39" s="1" t="s">
        <v>22</v>
      </c>
      <c r="E39" s="1" t="s">
        <v>27</v>
      </c>
      <c r="F39" s="1" t="s">
        <v>81</v>
      </c>
      <c r="G39" s="1">
        <v>4</v>
      </c>
      <c r="H39" s="1">
        <v>9500</v>
      </c>
      <c r="I39" s="1">
        <v>0.15</v>
      </c>
      <c r="J39" s="1">
        <v>32300</v>
      </c>
      <c r="K39" s="1">
        <v>22933</v>
      </c>
      <c r="L39" s="1">
        <v>9367</v>
      </c>
    </row>
    <row r="40" spans="1:12" x14ac:dyDescent="0.35">
      <c r="A40" s="3" t="s">
        <v>104</v>
      </c>
      <c r="B40" s="2">
        <v>45886</v>
      </c>
      <c r="C40" s="3" t="s">
        <v>105</v>
      </c>
      <c r="D40" s="3" t="s">
        <v>12</v>
      </c>
      <c r="E40" s="3" t="s">
        <v>18</v>
      </c>
      <c r="F40" s="3" t="s">
        <v>51</v>
      </c>
      <c r="G40" s="3">
        <v>7</v>
      </c>
      <c r="H40" s="3">
        <v>4500</v>
      </c>
      <c r="I40" s="3">
        <v>0.15</v>
      </c>
      <c r="J40" s="3">
        <v>26775</v>
      </c>
      <c r="K40" s="3">
        <v>21420</v>
      </c>
      <c r="L40" s="3">
        <v>5355</v>
      </c>
    </row>
    <row r="41" spans="1:12" x14ac:dyDescent="0.35">
      <c r="A41" s="1" t="s">
        <v>106</v>
      </c>
      <c r="B41" s="4">
        <v>45672</v>
      </c>
      <c r="C41" s="1" t="s">
        <v>107</v>
      </c>
      <c r="D41" s="1" t="s">
        <v>12</v>
      </c>
      <c r="E41" s="1" t="s">
        <v>13</v>
      </c>
      <c r="F41" s="1" t="s">
        <v>51</v>
      </c>
      <c r="G41" s="1">
        <v>1</v>
      </c>
      <c r="H41" s="1">
        <v>4500</v>
      </c>
      <c r="I41" s="1">
        <v>0.02</v>
      </c>
      <c r="J41" s="1">
        <v>4410</v>
      </c>
      <c r="K41" s="1">
        <v>3439.8</v>
      </c>
      <c r="L41" s="1">
        <v>970.19999999999982</v>
      </c>
    </row>
    <row r="42" spans="1:12" x14ac:dyDescent="0.35">
      <c r="A42" s="3" t="s">
        <v>108</v>
      </c>
      <c r="B42" s="2">
        <v>45887</v>
      </c>
      <c r="C42" s="3" t="s">
        <v>109</v>
      </c>
      <c r="D42" s="3" t="s">
        <v>12</v>
      </c>
      <c r="E42" s="3" t="s">
        <v>27</v>
      </c>
      <c r="F42" s="3" t="s">
        <v>19</v>
      </c>
      <c r="G42" s="3">
        <v>6</v>
      </c>
      <c r="H42" s="3">
        <v>1800</v>
      </c>
      <c r="I42" s="3">
        <v>0</v>
      </c>
      <c r="J42" s="3">
        <v>10800</v>
      </c>
      <c r="K42" s="3">
        <v>8316</v>
      </c>
      <c r="L42" s="3">
        <v>2484</v>
      </c>
    </row>
    <row r="43" spans="1:12" x14ac:dyDescent="0.35">
      <c r="A43" s="1" t="s">
        <v>110</v>
      </c>
      <c r="B43" s="4">
        <v>45680</v>
      </c>
      <c r="C43" s="1" t="s">
        <v>111</v>
      </c>
      <c r="D43" s="1" t="s">
        <v>22</v>
      </c>
      <c r="E43" s="1" t="s">
        <v>23</v>
      </c>
      <c r="F43" s="1" t="s">
        <v>24</v>
      </c>
      <c r="G43" s="1">
        <v>9</v>
      </c>
      <c r="H43" s="1">
        <v>2200</v>
      </c>
      <c r="I43" s="1">
        <v>0.05</v>
      </c>
      <c r="J43" s="1">
        <v>18810</v>
      </c>
      <c r="K43" s="1">
        <v>12038.4</v>
      </c>
      <c r="L43" s="1">
        <v>6771.6</v>
      </c>
    </row>
    <row r="44" spans="1:12" x14ac:dyDescent="0.35">
      <c r="A44" s="3" t="s">
        <v>112</v>
      </c>
      <c r="B44" s="2">
        <v>45850</v>
      </c>
      <c r="C44" s="3" t="s">
        <v>113</v>
      </c>
      <c r="D44" s="3" t="s">
        <v>17</v>
      </c>
      <c r="E44" s="3" t="s">
        <v>23</v>
      </c>
      <c r="F44" s="3" t="s">
        <v>44</v>
      </c>
      <c r="G44" s="3">
        <v>8</v>
      </c>
      <c r="H44" s="3">
        <v>12500</v>
      </c>
      <c r="I44" s="3">
        <v>0</v>
      </c>
      <c r="J44" s="3">
        <v>100000</v>
      </c>
      <c r="K44" s="3">
        <v>63000</v>
      </c>
      <c r="L44" s="3">
        <v>37000</v>
      </c>
    </row>
    <row r="45" spans="1:12" x14ac:dyDescent="0.35">
      <c r="A45" s="1" t="s">
        <v>114</v>
      </c>
      <c r="B45" s="4">
        <v>45842</v>
      </c>
      <c r="C45" s="1" t="s">
        <v>115</v>
      </c>
      <c r="D45" s="1" t="s">
        <v>17</v>
      </c>
      <c r="E45" s="1" t="s">
        <v>23</v>
      </c>
      <c r="F45" s="1" t="s">
        <v>28</v>
      </c>
      <c r="G45" s="1">
        <v>10</v>
      </c>
      <c r="H45" s="1">
        <v>18000</v>
      </c>
      <c r="I45" s="1">
        <v>0.02</v>
      </c>
      <c r="J45" s="1">
        <v>176400</v>
      </c>
      <c r="K45" s="1">
        <v>130536</v>
      </c>
      <c r="L45" s="1">
        <v>45864</v>
      </c>
    </row>
    <row r="46" spans="1:12" x14ac:dyDescent="0.35">
      <c r="A46" s="3" t="s">
        <v>116</v>
      </c>
      <c r="B46" s="2">
        <v>45736</v>
      </c>
      <c r="C46" s="3" t="s">
        <v>117</v>
      </c>
      <c r="D46" s="3" t="s">
        <v>31</v>
      </c>
      <c r="E46" s="3" t="s">
        <v>27</v>
      </c>
      <c r="F46" s="3" t="s">
        <v>51</v>
      </c>
      <c r="G46" s="3">
        <v>7</v>
      </c>
      <c r="H46" s="3">
        <v>4500</v>
      </c>
      <c r="I46" s="3">
        <v>0.08</v>
      </c>
      <c r="J46" s="3">
        <v>28980</v>
      </c>
      <c r="K46" s="3">
        <v>22314.6</v>
      </c>
      <c r="L46" s="3">
        <v>6665.4000000000015</v>
      </c>
    </row>
    <row r="47" spans="1:12" x14ac:dyDescent="0.35">
      <c r="A47" s="1" t="s">
        <v>118</v>
      </c>
      <c r="B47" s="4">
        <v>45981</v>
      </c>
      <c r="C47" s="1" t="s">
        <v>119</v>
      </c>
      <c r="D47" s="1" t="s">
        <v>22</v>
      </c>
      <c r="E47" s="1" t="s">
        <v>27</v>
      </c>
      <c r="F47" s="1" t="s">
        <v>14</v>
      </c>
      <c r="G47" s="1">
        <v>1</v>
      </c>
      <c r="H47" s="1">
        <v>65000</v>
      </c>
      <c r="I47" s="1">
        <v>0.02</v>
      </c>
      <c r="J47" s="1">
        <v>63700</v>
      </c>
      <c r="K47" s="1">
        <v>47775</v>
      </c>
      <c r="L47" s="1">
        <v>15925</v>
      </c>
    </row>
    <row r="48" spans="1:12" x14ac:dyDescent="0.35">
      <c r="A48" s="3" t="s">
        <v>120</v>
      </c>
      <c r="B48" s="2">
        <v>45732</v>
      </c>
      <c r="C48" s="3" t="s">
        <v>121</v>
      </c>
      <c r="D48" s="3" t="s">
        <v>31</v>
      </c>
      <c r="E48" s="3" t="s">
        <v>23</v>
      </c>
      <c r="F48" s="3" t="s">
        <v>32</v>
      </c>
      <c r="G48" s="3">
        <v>8</v>
      </c>
      <c r="H48" s="3">
        <v>15000</v>
      </c>
      <c r="I48" s="3">
        <v>0.15</v>
      </c>
      <c r="J48" s="3">
        <v>102000</v>
      </c>
      <c r="K48" s="3">
        <v>74460</v>
      </c>
      <c r="L48" s="3">
        <v>27540</v>
      </c>
    </row>
    <row r="49" spans="1:12" x14ac:dyDescent="0.35">
      <c r="A49" s="1" t="s">
        <v>122</v>
      </c>
      <c r="B49" s="4">
        <v>45707</v>
      </c>
      <c r="C49" s="1" t="s">
        <v>123</v>
      </c>
      <c r="D49" s="1" t="s">
        <v>17</v>
      </c>
      <c r="E49" s="1" t="s">
        <v>27</v>
      </c>
      <c r="F49" s="1" t="s">
        <v>28</v>
      </c>
      <c r="G49" s="1">
        <v>7</v>
      </c>
      <c r="H49" s="1">
        <v>18000</v>
      </c>
      <c r="I49" s="1">
        <v>0.1</v>
      </c>
      <c r="J49" s="1">
        <v>113400</v>
      </c>
      <c r="K49" s="1">
        <v>89586</v>
      </c>
      <c r="L49" s="1">
        <v>23814</v>
      </c>
    </row>
    <row r="50" spans="1:12" x14ac:dyDescent="0.35">
      <c r="A50" s="3" t="s">
        <v>124</v>
      </c>
      <c r="B50" s="2">
        <v>45879</v>
      </c>
      <c r="C50" s="3" t="s">
        <v>125</v>
      </c>
      <c r="D50" s="3" t="s">
        <v>12</v>
      </c>
      <c r="E50" s="3" t="s">
        <v>18</v>
      </c>
      <c r="F50" s="3" t="s">
        <v>32</v>
      </c>
      <c r="G50" s="3">
        <v>5</v>
      </c>
      <c r="H50" s="3">
        <v>15000</v>
      </c>
      <c r="I50" s="3">
        <v>0.1</v>
      </c>
      <c r="J50" s="3">
        <v>67500</v>
      </c>
      <c r="K50" s="3">
        <v>49275</v>
      </c>
      <c r="L50" s="3">
        <v>18225</v>
      </c>
    </row>
    <row r="51" spans="1:12" x14ac:dyDescent="0.35">
      <c r="A51" s="1" t="s">
        <v>126</v>
      </c>
      <c r="B51" s="4">
        <v>45855</v>
      </c>
      <c r="C51" s="1" t="s">
        <v>127</v>
      </c>
      <c r="D51" s="1" t="s">
        <v>17</v>
      </c>
      <c r="E51" s="1" t="s">
        <v>23</v>
      </c>
      <c r="F51" s="1" t="s">
        <v>44</v>
      </c>
      <c r="G51" s="1">
        <v>6</v>
      </c>
      <c r="H51" s="1">
        <v>12500</v>
      </c>
      <c r="I51" s="1">
        <v>0.05</v>
      </c>
      <c r="J51" s="1">
        <v>71250</v>
      </c>
      <c r="K51" s="1">
        <v>51300</v>
      </c>
      <c r="L51" s="1">
        <v>19950</v>
      </c>
    </row>
    <row r="52" spans="1:12" x14ac:dyDescent="0.35">
      <c r="A52" s="3" t="s">
        <v>128</v>
      </c>
      <c r="B52" s="2">
        <v>45933</v>
      </c>
      <c r="C52" s="3" t="s">
        <v>129</v>
      </c>
      <c r="D52" s="3" t="s">
        <v>17</v>
      </c>
      <c r="E52" s="3" t="s">
        <v>13</v>
      </c>
      <c r="F52" s="3" t="s">
        <v>44</v>
      </c>
      <c r="G52" s="3">
        <v>1</v>
      </c>
      <c r="H52" s="3">
        <v>12500</v>
      </c>
      <c r="I52" s="3">
        <v>0</v>
      </c>
      <c r="J52" s="3">
        <v>12500</v>
      </c>
      <c r="K52" s="3">
        <v>9375</v>
      </c>
      <c r="L52" s="3">
        <v>3125</v>
      </c>
    </row>
    <row r="53" spans="1:12" x14ac:dyDescent="0.35">
      <c r="A53" s="1" t="s">
        <v>130</v>
      </c>
      <c r="B53" s="4">
        <v>45760</v>
      </c>
      <c r="C53" s="1" t="s">
        <v>131</v>
      </c>
      <c r="D53" s="1" t="s">
        <v>22</v>
      </c>
      <c r="E53" s="1" t="s">
        <v>27</v>
      </c>
      <c r="F53" s="1" t="s">
        <v>39</v>
      </c>
      <c r="G53" s="1">
        <v>5</v>
      </c>
      <c r="H53" s="1">
        <v>250</v>
      </c>
      <c r="I53" s="1">
        <v>0.05</v>
      </c>
      <c r="J53" s="1">
        <v>1187.5</v>
      </c>
      <c r="K53" s="1">
        <v>783.75</v>
      </c>
      <c r="L53" s="1">
        <v>403.75</v>
      </c>
    </row>
    <row r="54" spans="1:12" x14ac:dyDescent="0.35">
      <c r="A54" s="3" t="s">
        <v>132</v>
      </c>
      <c r="B54" s="2">
        <v>45891</v>
      </c>
      <c r="C54" s="3" t="s">
        <v>133</v>
      </c>
      <c r="D54" s="3" t="s">
        <v>22</v>
      </c>
      <c r="E54" s="3" t="s">
        <v>18</v>
      </c>
      <c r="F54" s="3" t="s">
        <v>81</v>
      </c>
      <c r="G54" s="3">
        <v>1</v>
      </c>
      <c r="H54" s="3">
        <v>9500</v>
      </c>
      <c r="I54" s="3">
        <v>0.02</v>
      </c>
      <c r="J54" s="3">
        <v>9310</v>
      </c>
      <c r="K54" s="3">
        <v>6796.3</v>
      </c>
      <c r="L54" s="3">
        <v>2513.6999999999998</v>
      </c>
    </row>
    <row r="55" spans="1:12" x14ac:dyDescent="0.35">
      <c r="A55" s="1" t="s">
        <v>134</v>
      </c>
      <c r="B55" s="4">
        <v>45773</v>
      </c>
      <c r="C55" s="1" t="s">
        <v>135</v>
      </c>
      <c r="D55" s="1" t="s">
        <v>12</v>
      </c>
      <c r="E55" s="1" t="s">
        <v>13</v>
      </c>
      <c r="F55" s="1" t="s">
        <v>14</v>
      </c>
      <c r="G55" s="1">
        <v>9</v>
      </c>
      <c r="H55" s="1">
        <v>65000</v>
      </c>
      <c r="I55" s="1">
        <v>0.15</v>
      </c>
      <c r="J55" s="1">
        <v>497250</v>
      </c>
      <c r="K55" s="1">
        <v>377910</v>
      </c>
      <c r="L55" s="1">
        <v>119340</v>
      </c>
    </row>
    <row r="56" spans="1:12" x14ac:dyDescent="0.35">
      <c r="A56" s="3" t="s">
        <v>136</v>
      </c>
      <c r="B56" s="2">
        <v>45950</v>
      </c>
      <c r="C56" s="3" t="s">
        <v>137</v>
      </c>
      <c r="D56" s="3" t="s">
        <v>31</v>
      </c>
      <c r="E56" s="3" t="s">
        <v>13</v>
      </c>
      <c r="F56" s="3" t="s">
        <v>70</v>
      </c>
      <c r="G56" s="3">
        <v>5</v>
      </c>
      <c r="H56" s="3">
        <v>28000</v>
      </c>
      <c r="I56" s="3">
        <v>0.05</v>
      </c>
      <c r="J56" s="3">
        <v>133000</v>
      </c>
      <c r="K56" s="3">
        <v>97090</v>
      </c>
      <c r="L56" s="3">
        <v>35910</v>
      </c>
    </row>
    <row r="57" spans="1:12" x14ac:dyDescent="0.35">
      <c r="A57" s="1" t="s">
        <v>138</v>
      </c>
      <c r="B57" s="4">
        <v>45864</v>
      </c>
      <c r="C57" s="1" t="s">
        <v>139</v>
      </c>
      <c r="D57" s="1" t="s">
        <v>22</v>
      </c>
      <c r="E57" s="1" t="s">
        <v>23</v>
      </c>
      <c r="F57" s="1" t="s">
        <v>19</v>
      </c>
      <c r="G57" s="1">
        <v>9</v>
      </c>
      <c r="H57" s="1">
        <v>1800</v>
      </c>
      <c r="I57" s="1">
        <v>0.02</v>
      </c>
      <c r="J57" s="1">
        <v>15876</v>
      </c>
      <c r="K57" s="1">
        <v>11907</v>
      </c>
      <c r="L57" s="1">
        <v>3969</v>
      </c>
    </row>
    <row r="58" spans="1:12" x14ac:dyDescent="0.35">
      <c r="A58" s="3" t="s">
        <v>140</v>
      </c>
      <c r="B58" s="2">
        <v>45965</v>
      </c>
      <c r="C58" s="3" t="s">
        <v>141</v>
      </c>
      <c r="D58" s="3" t="s">
        <v>31</v>
      </c>
      <c r="E58" s="3" t="s">
        <v>18</v>
      </c>
      <c r="F58" s="3" t="s">
        <v>28</v>
      </c>
      <c r="G58" s="3">
        <v>1</v>
      </c>
      <c r="H58" s="3">
        <v>18000</v>
      </c>
      <c r="I58" s="3">
        <v>0.08</v>
      </c>
      <c r="J58" s="3">
        <v>16560</v>
      </c>
      <c r="K58" s="3">
        <v>12751.2</v>
      </c>
      <c r="L58" s="3">
        <v>3808.7999999999993</v>
      </c>
    </row>
    <row r="59" spans="1:12" x14ac:dyDescent="0.35">
      <c r="A59" s="1" t="s">
        <v>142</v>
      </c>
      <c r="B59" s="4">
        <v>45715</v>
      </c>
      <c r="C59" s="1" t="s">
        <v>143</v>
      </c>
      <c r="D59" s="1" t="s">
        <v>12</v>
      </c>
      <c r="E59" s="1" t="s">
        <v>23</v>
      </c>
      <c r="F59" s="1" t="s">
        <v>51</v>
      </c>
      <c r="G59" s="1">
        <v>2</v>
      </c>
      <c r="H59" s="1">
        <v>4500</v>
      </c>
      <c r="I59" s="1">
        <v>0.15</v>
      </c>
      <c r="J59" s="1">
        <v>7650</v>
      </c>
      <c r="K59" s="1">
        <v>5049</v>
      </c>
      <c r="L59" s="1">
        <v>2601</v>
      </c>
    </row>
    <row r="60" spans="1:12" x14ac:dyDescent="0.35">
      <c r="A60" s="3" t="s">
        <v>144</v>
      </c>
      <c r="B60" s="2">
        <v>45874</v>
      </c>
      <c r="C60" s="3" t="s">
        <v>145</v>
      </c>
      <c r="D60" s="3" t="s">
        <v>22</v>
      </c>
      <c r="E60" s="3" t="s">
        <v>23</v>
      </c>
      <c r="F60" s="3" t="s">
        <v>51</v>
      </c>
      <c r="G60" s="3">
        <v>8</v>
      </c>
      <c r="H60" s="3">
        <v>4500</v>
      </c>
      <c r="I60" s="3">
        <v>0.1</v>
      </c>
      <c r="J60" s="3">
        <v>32400</v>
      </c>
      <c r="K60" s="3">
        <v>22356</v>
      </c>
      <c r="L60" s="3">
        <v>10044</v>
      </c>
    </row>
    <row r="61" spans="1:12" x14ac:dyDescent="0.35">
      <c r="A61" s="1" t="s">
        <v>146</v>
      </c>
      <c r="B61" s="4">
        <v>45756</v>
      </c>
      <c r="C61" s="1" t="s">
        <v>147</v>
      </c>
      <c r="D61" s="1" t="s">
        <v>17</v>
      </c>
      <c r="E61" s="1" t="s">
        <v>13</v>
      </c>
      <c r="F61" s="1" t="s">
        <v>70</v>
      </c>
      <c r="G61" s="1">
        <v>9</v>
      </c>
      <c r="H61" s="1">
        <v>28000</v>
      </c>
      <c r="I61" s="1">
        <v>0.15</v>
      </c>
      <c r="J61" s="1">
        <v>214200</v>
      </c>
      <c r="K61" s="1">
        <v>156366</v>
      </c>
      <c r="L61" s="1">
        <v>57834</v>
      </c>
    </row>
    <row r="62" spans="1:12" x14ac:dyDescent="0.35">
      <c r="A62" s="3" t="s">
        <v>148</v>
      </c>
      <c r="B62" s="2">
        <v>45663</v>
      </c>
      <c r="C62" s="3" t="s">
        <v>149</v>
      </c>
      <c r="D62" s="3" t="s">
        <v>22</v>
      </c>
      <c r="E62" s="3" t="s">
        <v>27</v>
      </c>
      <c r="F62" s="3" t="s">
        <v>24</v>
      </c>
      <c r="G62" s="3">
        <v>6</v>
      </c>
      <c r="H62" s="3">
        <v>2200</v>
      </c>
      <c r="I62" s="3">
        <v>0.08</v>
      </c>
      <c r="J62" s="3">
        <v>12144</v>
      </c>
      <c r="K62" s="3">
        <v>8379.36</v>
      </c>
      <c r="L62" s="3">
        <v>3764.6399999999994</v>
      </c>
    </row>
    <row r="63" spans="1:12" x14ac:dyDescent="0.35">
      <c r="A63" s="1" t="s">
        <v>150</v>
      </c>
      <c r="B63" s="4">
        <v>45661</v>
      </c>
      <c r="C63" s="1" t="s">
        <v>151</v>
      </c>
      <c r="D63" s="1" t="s">
        <v>17</v>
      </c>
      <c r="E63" s="1" t="s">
        <v>18</v>
      </c>
      <c r="F63" s="1" t="s">
        <v>44</v>
      </c>
      <c r="G63" s="1">
        <v>1</v>
      </c>
      <c r="H63" s="1">
        <v>12500</v>
      </c>
      <c r="I63" s="1">
        <v>0.08</v>
      </c>
      <c r="J63" s="1">
        <v>11500</v>
      </c>
      <c r="K63" s="1">
        <v>8395</v>
      </c>
      <c r="L63" s="1">
        <v>3105</v>
      </c>
    </row>
    <row r="64" spans="1:12" x14ac:dyDescent="0.35">
      <c r="A64" s="3" t="s">
        <v>152</v>
      </c>
      <c r="B64" s="2">
        <v>45841</v>
      </c>
      <c r="C64" s="3" t="s">
        <v>153</v>
      </c>
      <c r="D64" s="3" t="s">
        <v>12</v>
      </c>
      <c r="E64" s="3" t="s">
        <v>13</v>
      </c>
      <c r="F64" s="3" t="s">
        <v>44</v>
      </c>
      <c r="G64" s="3">
        <v>7</v>
      </c>
      <c r="H64" s="3">
        <v>12500</v>
      </c>
      <c r="I64" s="3">
        <v>0.02</v>
      </c>
      <c r="J64" s="3">
        <v>85750</v>
      </c>
      <c r="K64" s="3">
        <v>66027.5</v>
      </c>
      <c r="L64" s="3">
        <v>19722.5</v>
      </c>
    </row>
    <row r="65" spans="1:12" x14ac:dyDescent="0.35">
      <c r="A65" s="1" t="s">
        <v>154</v>
      </c>
      <c r="B65" s="4">
        <v>45967</v>
      </c>
      <c r="C65" s="1" t="s">
        <v>155</v>
      </c>
      <c r="D65" s="1" t="s">
        <v>22</v>
      </c>
      <c r="E65" s="1" t="s">
        <v>27</v>
      </c>
      <c r="F65" s="1" t="s">
        <v>19</v>
      </c>
      <c r="G65" s="1">
        <v>6</v>
      </c>
      <c r="H65" s="1">
        <v>1800</v>
      </c>
      <c r="I65" s="1">
        <v>0.08</v>
      </c>
      <c r="J65" s="1">
        <v>9936</v>
      </c>
      <c r="K65" s="1">
        <v>5961.6</v>
      </c>
      <c r="L65" s="1">
        <v>3974.3999999999996</v>
      </c>
    </row>
    <row r="66" spans="1:12" x14ac:dyDescent="0.35">
      <c r="A66" s="3" t="s">
        <v>156</v>
      </c>
      <c r="B66" s="2">
        <v>45908</v>
      </c>
      <c r="C66" s="3" t="s">
        <v>157</v>
      </c>
      <c r="D66" s="3" t="s">
        <v>12</v>
      </c>
      <c r="E66" s="3" t="s">
        <v>23</v>
      </c>
      <c r="F66" s="3" t="s">
        <v>39</v>
      </c>
      <c r="G66" s="3">
        <v>3</v>
      </c>
      <c r="H66" s="3">
        <v>250</v>
      </c>
      <c r="I66" s="3">
        <v>0.02</v>
      </c>
      <c r="J66" s="3">
        <v>735</v>
      </c>
      <c r="K66" s="3">
        <v>485.1</v>
      </c>
      <c r="L66" s="3">
        <v>249.89999999999998</v>
      </c>
    </row>
    <row r="67" spans="1:12" x14ac:dyDescent="0.35">
      <c r="A67" s="1" t="s">
        <v>158</v>
      </c>
      <c r="B67" s="4">
        <v>45805</v>
      </c>
      <c r="C67" s="1" t="s">
        <v>159</v>
      </c>
      <c r="D67" s="1" t="s">
        <v>17</v>
      </c>
      <c r="E67" s="1" t="s">
        <v>18</v>
      </c>
      <c r="F67" s="1" t="s">
        <v>24</v>
      </c>
      <c r="G67" s="1">
        <v>10</v>
      </c>
      <c r="H67" s="1">
        <v>2200</v>
      </c>
      <c r="I67" s="1">
        <v>0.1</v>
      </c>
      <c r="J67" s="1">
        <v>19800</v>
      </c>
      <c r="K67" s="1">
        <v>15246</v>
      </c>
      <c r="L67" s="1">
        <v>4554</v>
      </c>
    </row>
    <row r="68" spans="1:12" x14ac:dyDescent="0.35">
      <c r="A68" s="3" t="s">
        <v>160</v>
      </c>
      <c r="B68" s="2">
        <v>45926</v>
      </c>
      <c r="C68" s="3" t="s">
        <v>161</v>
      </c>
      <c r="D68" s="3" t="s">
        <v>22</v>
      </c>
      <c r="E68" s="3" t="s">
        <v>23</v>
      </c>
      <c r="F68" s="3" t="s">
        <v>14</v>
      </c>
      <c r="G68" s="3">
        <v>5</v>
      </c>
      <c r="H68" s="3">
        <v>65000</v>
      </c>
      <c r="I68" s="3">
        <v>0.08</v>
      </c>
      <c r="J68" s="3">
        <v>299000</v>
      </c>
      <c r="K68" s="3">
        <v>239200</v>
      </c>
      <c r="L68" s="3">
        <v>59800</v>
      </c>
    </row>
    <row r="69" spans="1:12" x14ac:dyDescent="0.35">
      <c r="A69" s="1" t="s">
        <v>162</v>
      </c>
      <c r="B69" s="4">
        <v>45843</v>
      </c>
      <c r="C69" s="1" t="s">
        <v>163</v>
      </c>
      <c r="D69" s="1" t="s">
        <v>31</v>
      </c>
      <c r="E69" s="1" t="s">
        <v>23</v>
      </c>
      <c r="F69" s="1" t="s">
        <v>51</v>
      </c>
      <c r="G69" s="1">
        <v>4</v>
      </c>
      <c r="H69" s="1">
        <v>4500</v>
      </c>
      <c r="I69" s="1">
        <v>0.08</v>
      </c>
      <c r="J69" s="1">
        <v>16560</v>
      </c>
      <c r="K69" s="1">
        <v>13248</v>
      </c>
      <c r="L69" s="1">
        <v>3312</v>
      </c>
    </row>
    <row r="70" spans="1:12" x14ac:dyDescent="0.35">
      <c r="A70" s="3" t="s">
        <v>164</v>
      </c>
      <c r="B70" s="2">
        <v>45788</v>
      </c>
      <c r="C70" s="3" t="s">
        <v>165</v>
      </c>
      <c r="D70" s="3" t="s">
        <v>22</v>
      </c>
      <c r="E70" s="3" t="s">
        <v>23</v>
      </c>
      <c r="F70" s="3" t="s">
        <v>70</v>
      </c>
      <c r="G70" s="3">
        <v>6</v>
      </c>
      <c r="H70" s="3">
        <v>28000</v>
      </c>
      <c r="I70" s="3">
        <v>0.15</v>
      </c>
      <c r="J70" s="3">
        <v>142800</v>
      </c>
      <c r="K70" s="3">
        <v>91392</v>
      </c>
      <c r="L70" s="3">
        <v>51408</v>
      </c>
    </row>
    <row r="71" spans="1:12" x14ac:dyDescent="0.35">
      <c r="A71" s="1" t="s">
        <v>166</v>
      </c>
      <c r="B71" s="4">
        <v>45719</v>
      </c>
      <c r="C71" s="1" t="s">
        <v>167</v>
      </c>
      <c r="D71" s="1" t="s">
        <v>12</v>
      </c>
      <c r="E71" s="1" t="s">
        <v>18</v>
      </c>
      <c r="F71" s="1" t="s">
        <v>51</v>
      </c>
      <c r="G71" s="1">
        <v>8</v>
      </c>
      <c r="H71" s="1">
        <v>4500</v>
      </c>
      <c r="I71" s="1">
        <v>0.08</v>
      </c>
      <c r="J71" s="1">
        <v>33120</v>
      </c>
      <c r="K71" s="1">
        <v>25833.599999999999</v>
      </c>
      <c r="L71" s="1">
        <v>7286.4000000000015</v>
      </c>
    </row>
    <row r="72" spans="1:12" x14ac:dyDescent="0.35">
      <c r="A72" s="3" t="s">
        <v>168</v>
      </c>
      <c r="B72" s="2">
        <v>45664</v>
      </c>
      <c r="C72" s="3" t="s">
        <v>169</v>
      </c>
      <c r="D72" s="3" t="s">
        <v>17</v>
      </c>
      <c r="E72" s="3" t="s">
        <v>13</v>
      </c>
      <c r="F72" s="3" t="s">
        <v>70</v>
      </c>
      <c r="G72" s="3">
        <v>5</v>
      </c>
      <c r="H72" s="3">
        <v>28000</v>
      </c>
      <c r="I72" s="3">
        <v>0.15</v>
      </c>
      <c r="J72" s="3">
        <v>119000</v>
      </c>
      <c r="K72" s="3">
        <v>88060</v>
      </c>
      <c r="L72" s="3">
        <v>30940</v>
      </c>
    </row>
    <row r="73" spans="1:12" x14ac:dyDescent="0.35">
      <c r="A73" s="1" t="s">
        <v>170</v>
      </c>
      <c r="B73" s="4">
        <v>45677</v>
      </c>
      <c r="C73" s="1" t="s">
        <v>171</v>
      </c>
      <c r="D73" s="1" t="s">
        <v>31</v>
      </c>
      <c r="E73" s="1" t="s">
        <v>27</v>
      </c>
      <c r="F73" s="1" t="s">
        <v>39</v>
      </c>
      <c r="G73" s="1">
        <v>9</v>
      </c>
      <c r="H73" s="1">
        <v>250</v>
      </c>
      <c r="I73" s="1">
        <v>0.1</v>
      </c>
      <c r="J73" s="1">
        <v>2025</v>
      </c>
      <c r="K73" s="1">
        <v>1539</v>
      </c>
      <c r="L73" s="1">
        <v>486</v>
      </c>
    </row>
    <row r="74" spans="1:12" x14ac:dyDescent="0.35">
      <c r="A74" s="3" t="s">
        <v>172</v>
      </c>
      <c r="B74" s="2">
        <v>45810</v>
      </c>
      <c r="C74" s="3" t="s">
        <v>173</v>
      </c>
      <c r="D74" s="3" t="s">
        <v>12</v>
      </c>
      <c r="E74" s="3" t="s">
        <v>23</v>
      </c>
      <c r="F74" s="3" t="s">
        <v>70</v>
      </c>
      <c r="G74" s="3">
        <v>4</v>
      </c>
      <c r="H74" s="3">
        <v>28000</v>
      </c>
      <c r="I74" s="3">
        <v>0</v>
      </c>
      <c r="J74" s="3">
        <v>112000</v>
      </c>
      <c r="K74" s="3">
        <v>77280</v>
      </c>
      <c r="L74" s="3">
        <v>34720</v>
      </c>
    </row>
    <row r="75" spans="1:12" x14ac:dyDescent="0.35">
      <c r="A75" s="1" t="s">
        <v>174</v>
      </c>
      <c r="B75" s="4">
        <v>45845</v>
      </c>
      <c r="C75" s="1" t="s">
        <v>175</v>
      </c>
      <c r="D75" s="1" t="s">
        <v>12</v>
      </c>
      <c r="E75" s="1" t="s">
        <v>18</v>
      </c>
      <c r="F75" s="1" t="s">
        <v>39</v>
      </c>
      <c r="G75" s="1">
        <v>2</v>
      </c>
      <c r="H75" s="1">
        <v>250</v>
      </c>
      <c r="I75" s="1">
        <v>0.1</v>
      </c>
      <c r="J75" s="1">
        <v>450</v>
      </c>
      <c r="K75" s="1">
        <v>328.5</v>
      </c>
      <c r="L75" s="1">
        <v>121.5</v>
      </c>
    </row>
    <row r="76" spans="1:12" x14ac:dyDescent="0.35">
      <c r="A76" s="3" t="s">
        <v>176</v>
      </c>
      <c r="B76" s="2">
        <v>45845</v>
      </c>
      <c r="C76" s="3" t="s">
        <v>177</v>
      </c>
      <c r="D76" s="3" t="s">
        <v>31</v>
      </c>
      <c r="E76" s="3" t="s">
        <v>23</v>
      </c>
      <c r="F76" s="3" t="s">
        <v>39</v>
      </c>
      <c r="G76" s="3">
        <v>4</v>
      </c>
      <c r="H76" s="3">
        <v>250</v>
      </c>
      <c r="I76" s="3">
        <v>0.1</v>
      </c>
      <c r="J76" s="3">
        <v>900</v>
      </c>
      <c r="K76" s="3">
        <v>720</v>
      </c>
      <c r="L76" s="3">
        <v>180</v>
      </c>
    </row>
    <row r="77" spans="1:12" x14ac:dyDescent="0.35">
      <c r="A77" s="1" t="s">
        <v>178</v>
      </c>
      <c r="B77" s="4">
        <v>45825</v>
      </c>
      <c r="C77" s="1" t="s">
        <v>179</v>
      </c>
      <c r="D77" s="1" t="s">
        <v>31</v>
      </c>
      <c r="E77" s="1" t="s">
        <v>18</v>
      </c>
      <c r="F77" s="1" t="s">
        <v>28</v>
      </c>
      <c r="G77" s="1">
        <v>2</v>
      </c>
      <c r="H77" s="1">
        <v>18000</v>
      </c>
      <c r="I77" s="1">
        <v>0.05</v>
      </c>
      <c r="J77" s="1">
        <v>34200</v>
      </c>
      <c r="K77" s="1">
        <v>24624</v>
      </c>
      <c r="L77" s="1">
        <v>9576</v>
      </c>
    </row>
    <row r="78" spans="1:12" x14ac:dyDescent="0.35">
      <c r="A78" s="3" t="s">
        <v>180</v>
      </c>
      <c r="B78" s="2">
        <v>45789</v>
      </c>
      <c r="C78" s="3" t="s">
        <v>181</v>
      </c>
      <c r="D78" s="3" t="s">
        <v>31</v>
      </c>
      <c r="E78" s="3" t="s">
        <v>18</v>
      </c>
      <c r="F78" s="3" t="s">
        <v>19</v>
      </c>
      <c r="G78" s="3">
        <v>7</v>
      </c>
      <c r="H78" s="3">
        <v>1800</v>
      </c>
      <c r="I78" s="3">
        <v>0.02</v>
      </c>
      <c r="J78" s="3">
        <v>12348</v>
      </c>
      <c r="K78" s="3">
        <v>7408.8</v>
      </c>
      <c r="L78" s="3">
        <v>4939.2</v>
      </c>
    </row>
    <row r="79" spans="1:12" x14ac:dyDescent="0.35">
      <c r="A79" s="1" t="s">
        <v>182</v>
      </c>
      <c r="B79" s="4">
        <v>45828</v>
      </c>
      <c r="C79" s="1" t="s">
        <v>183</v>
      </c>
      <c r="D79" s="1" t="s">
        <v>12</v>
      </c>
      <c r="E79" s="1" t="s">
        <v>18</v>
      </c>
      <c r="F79" s="1" t="s">
        <v>44</v>
      </c>
      <c r="G79" s="1">
        <v>5</v>
      </c>
      <c r="H79" s="1">
        <v>12500</v>
      </c>
      <c r="I79" s="1">
        <v>0.05</v>
      </c>
      <c r="J79" s="1">
        <v>59375</v>
      </c>
      <c r="K79" s="1">
        <v>40375</v>
      </c>
      <c r="L79" s="1">
        <v>19000</v>
      </c>
    </row>
    <row r="80" spans="1:12" x14ac:dyDescent="0.35">
      <c r="A80" s="3" t="s">
        <v>184</v>
      </c>
      <c r="B80" s="2">
        <v>45871</v>
      </c>
      <c r="C80" s="3" t="s">
        <v>185</v>
      </c>
      <c r="D80" s="3" t="s">
        <v>31</v>
      </c>
      <c r="E80" s="3" t="s">
        <v>13</v>
      </c>
      <c r="F80" s="3" t="s">
        <v>14</v>
      </c>
      <c r="G80" s="3">
        <v>6</v>
      </c>
      <c r="H80" s="3">
        <v>65000</v>
      </c>
      <c r="I80" s="3">
        <v>0.15</v>
      </c>
      <c r="J80" s="3">
        <v>331500</v>
      </c>
      <c r="K80" s="3">
        <v>261885</v>
      </c>
      <c r="L80" s="3">
        <v>69615</v>
      </c>
    </row>
    <row r="81" spans="1:12" x14ac:dyDescent="0.35">
      <c r="A81" s="1" t="s">
        <v>186</v>
      </c>
      <c r="B81" s="4">
        <v>45902</v>
      </c>
      <c r="C81" s="1" t="s">
        <v>187</v>
      </c>
      <c r="D81" s="1" t="s">
        <v>12</v>
      </c>
      <c r="E81" s="1" t="s">
        <v>23</v>
      </c>
      <c r="F81" s="1" t="s">
        <v>51</v>
      </c>
      <c r="G81" s="1">
        <v>8</v>
      </c>
      <c r="H81" s="1">
        <v>4500</v>
      </c>
      <c r="I81" s="1">
        <v>0.15</v>
      </c>
      <c r="J81" s="1">
        <v>30600</v>
      </c>
      <c r="K81" s="1">
        <v>19890</v>
      </c>
      <c r="L81" s="1">
        <v>10710</v>
      </c>
    </row>
    <row r="82" spans="1:12" x14ac:dyDescent="0.35">
      <c r="A82" s="3" t="s">
        <v>188</v>
      </c>
      <c r="B82" s="2">
        <v>45920</v>
      </c>
      <c r="C82" s="3" t="s">
        <v>189</v>
      </c>
      <c r="D82" s="3" t="s">
        <v>17</v>
      </c>
      <c r="E82" s="3" t="s">
        <v>18</v>
      </c>
      <c r="F82" s="3" t="s">
        <v>70</v>
      </c>
      <c r="G82" s="3">
        <v>6</v>
      </c>
      <c r="H82" s="3">
        <v>28000</v>
      </c>
      <c r="I82" s="3">
        <v>0.05</v>
      </c>
      <c r="J82" s="3">
        <v>159600</v>
      </c>
      <c r="K82" s="3">
        <v>111720</v>
      </c>
      <c r="L82" s="3">
        <v>47880</v>
      </c>
    </row>
    <row r="83" spans="1:12" x14ac:dyDescent="0.35">
      <c r="A83" s="1" t="s">
        <v>190</v>
      </c>
      <c r="B83" s="4">
        <v>45859</v>
      </c>
      <c r="C83" s="1" t="s">
        <v>191</v>
      </c>
      <c r="D83" s="1" t="s">
        <v>12</v>
      </c>
      <c r="E83" s="1" t="s">
        <v>27</v>
      </c>
      <c r="F83" s="1" t="s">
        <v>70</v>
      </c>
      <c r="G83" s="1">
        <v>9</v>
      </c>
      <c r="H83" s="1">
        <v>28000</v>
      </c>
      <c r="I83" s="1">
        <v>0.05</v>
      </c>
      <c r="J83" s="1">
        <v>239400</v>
      </c>
      <c r="K83" s="1">
        <v>186732</v>
      </c>
      <c r="L83" s="1">
        <v>52668</v>
      </c>
    </row>
    <row r="84" spans="1:12" x14ac:dyDescent="0.35">
      <c r="A84" s="3" t="s">
        <v>192</v>
      </c>
      <c r="B84" s="2">
        <v>45865</v>
      </c>
      <c r="C84" s="3" t="s">
        <v>193</v>
      </c>
      <c r="D84" s="3" t="s">
        <v>22</v>
      </c>
      <c r="E84" s="3" t="s">
        <v>27</v>
      </c>
      <c r="F84" s="3" t="s">
        <v>51</v>
      </c>
      <c r="G84" s="3">
        <v>9</v>
      </c>
      <c r="H84" s="3">
        <v>4500</v>
      </c>
      <c r="I84" s="3">
        <v>0.08</v>
      </c>
      <c r="J84" s="3">
        <v>37260</v>
      </c>
      <c r="K84" s="3">
        <v>23473.8</v>
      </c>
      <c r="L84" s="3">
        <v>13786.2</v>
      </c>
    </row>
    <row r="85" spans="1:12" x14ac:dyDescent="0.35">
      <c r="A85" s="1" t="s">
        <v>194</v>
      </c>
      <c r="B85" s="4">
        <v>45984</v>
      </c>
      <c r="C85" s="1" t="s">
        <v>195</v>
      </c>
      <c r="D85" s="1" t="s">
        <v>22</v>
      </c>
      <c r="E85" s="1" t="s">
        <v>23</v>
      </c>
      <c r="F85" s="1" t="s">
        <v>81</v>
      </c>
      <c r="G85" s="1">
        <v>2</v>
      </c>
      <c r="H85" s="1">
        <v>9500</v>
      </c>
      <c r="I85" s="1">
        <v>0.15</v>
      </c>
      <c r="J85" s="1">
        <v>16150</v>
      </c>
      <c r="K85" s="1">
        <v>11628</v>
      </c>
      <c r="L85" s="1">
        <v>4522</v>
      </c>
    </row>
    <row r="86" spans="1:12" x14ac:dyDescent="0.35">
      <c r="A86" s="3" t="s">
        <v>196</v>
      </c>
      <c r="B86" s="2">
        <v>45941</v>
      </c>
      <c r="C86" s="3" t="s">
        <v>197</v>
      </c>
      <c r="D86" s="3" t="s">
        <v>12</v>
      </c>
      <c r="E86" s="3" t="s">
        <v>13</v>
      </c>
      <c r="F86" s="3" t="s">
        <v>44</v>
      </c>
      <c r="G86" s="3">
        <v>2</v>
      </c>
      <c r="H86" s="3">
        <v>12500</v>
      </c>
      <c r="I86" s="3">
        <v>0.02</v>
      </c>
      <c r="J86" s="3">
        <v>24500</v>
      </c>
      <c r="K86" s="3">
        <v>18865</v>
      </c>
      <c r="L86" s="3">
        <v>5635</v>
      </c>
    </row>
    <row r="87" spans="1:12" x14ac:dyDescent="0.35">
      <c r="A87" s="1" t="s">
        <v>198</v>
      </c>
      <c r="B87" s="4">
        <v>45924</v>
      </c>
      <c r="C87" s="1" t="s">
        <v>199</v>
      </c>
      <c r="D87" s="1" t="s">
        <v>31</v>
      </c>
      <c r="E87" s="1" t="s">
        <v>27</v>
      </c>
      <c r="F87" s="1" t="s">
        <v>70</v>
      </c>
      <c r="G87" s="1">
        <v>6</v>
      </c>
      <c r="H87" s="1">
        <v>28000</v>
      </c>
      <c r="I87" s="1">
        <v>0.15</v>
      </c>
      <c r="J87" s="1">
        <v>142800</v>
      </c>
      <c r="K87" s="1">
        <v>85680</v>
      </c>
      <c r="L87" s="1">
        <v>57120</v>
      </c>
    </row>
    <row r="88" spans="1:12" x14ac:dyDescent="0.35">
      <c r="A88" s="3" t="s">
        <v>200</v>
      </c>
      <c r="B88" s="2">
        <v>45744</v>
      </c>
      <c r="C88" s="3" t="s">
        <v>201</v>
      </c>
      <c r="D88" s="3" t="s">
        <v>17</v>
      </c>
      <c r="E88" s="3" t="s">
        <v>23</v>
      </c>
      <c r="F88" s="3" t="s">
        <v>24</v>
      </c>
      <c r="G88" s="3">
        <v>2</v>
      </c>
      <c r="H88" s="3">
        <v>2200</v>
      </c>
      <c r="I88" s="3">
        <v>0.15</v>
      </c>
      <c r="J88" s="3">
        <v>3740</v>
      </c>
      <c r="K88" s="3">
        <v>2580.6</v>
      </c>
      <c r="L88" s="3">
        <v>1159.4000000000001</v>
      </c>
    </row>
    <row r="89" spans="1:12" x14ac:dyDescent="0.35">
      <c r="A89" s="1" t="s">
        <v>202</v>
      </c>
      <c r="B89" s="4">
        <v>45831</v>
      </c>
      <c r="C89" s="1" t="s">
        <v>203</v>
      </c>
      <c r="D89" s="1" t="s">
        <v>17</v>
      </c>
      <c r="E89" s="1" t="s">
        <v>18</v>
      </c>
      <c r="F89" s="1" t="s">
        <v>24</v>
      </c>
      <c r="G89" s="1">
        <v>6</v>
      </c>
      <c r="H89" s="1">
        <v>2200</v>
      </c>
      <c r="I89" s="1">
        <v>0.02</v>
      </c>
      <c r="J89" s="1">
        <v>12936</v>
      </c>
      <c r="K89" s="1">
        <v>9184.56</v>
      </c>
      <c r="L89" s="1">
        <v>3751.4400000000005</v>
      </c>
    </row>
    <row r="90" spans="1:12" x14ac:dyDescent="0.35">
      <c r="A90" s="3" t="s">
        <v>204</v>
      </c>
      <c r="B90" s="2">
        <v>45660</v>
      </c>
      <c r="C90" s="3" t="s">
        <v>205</v>
      </c>
      <c r="D90" s="3" t="s">
        <v>31</v>
      </c>
      <c r="E90" s="3" t="s">
        <v>23</v>
      </c>
      <c r="F90" s="3" t="s">
        <v>19</v>
      </c>
      <c r="G90" s="3">
        <v>10</v>
      </c>
      <c r="H90" s="3">
        <v>1800</v>
      </c>
      <c r="I90" s="3">
        <v>0.1</v>
      </c>
      <c r="J90" s="3">
        <v>16200</v>
      </c>
      <c r="K90" s="3">
        <v>10206</v>
      </c>
      <c r="L90" s="3">
        <v>5994</v>
      </c>
    </row>
    <row r="91" spans="1:12" x14ac:dyDescent="0.35">
      <c r="A91" s="1" t="s">
        <v>206</v>
      </c>
      <c r="B91" s="4">
        <v>45667</v>
      </c>
      <c r="C91" s="1" t="s">
        <v>207</v>
      </c>
      <c r="D91" s="1" t="s">
        <v>22</v>
      </c>
      <c r="E91" s="1" t="s">
        <v>18</v>
      </c>
      <c r="F91" s="1" t="s">
        <v>81</v>
      </c>
      <c r="G91" s="1">
        <v>9</v>
      </c>
      <c r="H91" s="1">
        <v>9500</v>
      </c>
      <c r="I91" s="1">
        <v>0.02</v>
      </c>
      <c r="J91" s="1">
        <v>83790</v>
      </c>
      <c r="K91" s="1">
        <v>61166.7</v>
      </c>
      <c r="L91" s="1">
        <v>22623.300000000003</v>
      </c>
    </row>
    <row r="92" spans="1:12" x14ac:dyDescent="0.35">
      <c r="A92" s="3" t="s">
        <v>208</v>
      </c>
      <c r="B92" s="2">
        <v>46001</v>
      </c>
      <c r="C92" s="3" t="s">
        <v>209</v>
      </c>
      <c r="D92" s="3" t="s">
        <v>17</v>
      </c>
      <c r="E92" s="3" t="s">
        <v>13</v>
      </c>
      <c r="F92" s="3" t="s">
        <v>24</v>
      </c>
      <c r="G92" s="3">
        <v>5</v>
      </c>
      <c r="H92" s="3">
        <v>2200</v>
      </c>
      <c r="I92" s="3">
        <v>0.1</v>
      </c>
      <c r="J92" s="3">
        <v>9900</v>
      </c>
      <c r="K92" s="3">
        <v>6633</v>
      </c>
      <c r="L92" s="3">
        <v>3267</v>
      </c>
    </row>
    <row r="93" spans="1:12" x14ac:dyDescent="0.35">
      <c r="A93" s="1" t="s">
        <v>210</v>
      </c>
      <c r="B93" s="4">
        <v>45795</v>
      </c>
      <c r="C93" s="1" t="s">
        <v>211</v>
      </c>
      <c r="D93" s="1" t="s">
        <v>31</v>
      </c>
      <c r="E93" s="1" t="s">
        <v>18</v>
      </c>
      <c r="F93" s="1" t="s">
        <v>70</v>
      </c>
      <c r="G93" s="1">
        <v>6</v>
      </c>
      <c r="H93" s="1">
        <v>28000</v>
      </c>
      <c r="I93" s="1">
        <v>0.08</v>
      </c>
      <c r="J93" s="1">
        <v>154560</v>
      </c>
      <c r="K93" s="1">
        <v>112828.8</v>
      </c>
      <c r="L93" s="1">
        <v>41731.199999999997</v>
      </c>
    </row>
    <row r="94" spans="1:12" x14ac:dyDescent="0.35">
      <c r="A94" s="3" t="s">
        <v>212</v>
      </c>
      <c r="B94" s="2">
        <v>45917</v>
      </c>
      <c r="C94" s="3" t="s">
        <v>213</v>
      </c>
      <c r="D94" s="3" t="s">
        <v>12</v>
      </c>
      <c r="E94" s="3" t="s">
        <v>27</v>
      </c>
      <c r="F94" s="3" t="s">
        <v>81</v>
      </c>
      <c r="G94" s="3">
        <v>10</v>
      </c>
      <c r="H94" s="3">
        <v>9500</v>
      </c>
      <c r="I94" s="3">
        <v>0.02</v>
      </c>
      <c r="J94" s="3">
        <v>93100</v>
      </c>
      <c r="K94" s="3">
        <v>69825</v>
      </c>
      <c r="L94" s="3">
        <v>23275</v>
      </c>
    </row>
    <row r="95" spans="1:12" x14ac:dyDescent="0.35">
      <c r="A95" s="1" t="s">
        <v>214</v>
      </c>
      <c r="B95" s="4">
        <v>45830</v>
      </c>
      <c r="C95" s="1" t="s">
        <v>215</v>
      </c>
      <c r="D95" s="1" t="s">
        <v>22</v>
      </c>
      <c r="E95" s="1" t="s">
        <v>23</v>
      </c>
      <c r="F95" s="1" t="s">
        <v>39</v>
      </c>
      <c r="G95" s="1">
        <v>2</v>
      </c>
      <c r="H95" s="1">
        <v>250</v>
      </c>
      <c r="I95" s="1">
        <v>0.05</v>
      </c>
      <c r="J95" s="1">
        <v>475</v>
      </c>
      <c r="K95" s="1">
        <v>299.25</v>
      </c>
      <c r="L95" s="1">
        <v>175.75</v>
      </c>
    </row>
    <row r="96" spans="1:12" x14ac:dyDescent="0.35">
      <c r="A96" s="3" t="s">
        <v>216</v>
      </c>
      <c r="B96" s="2">
        <v>45883</v>
      </c>
      <c r="C96" s="3" t="s">
        <v>217</v>
      </c>
      <c r="D96" s="3" t="s">
        <v>31</v>
      </c>
      <c r="E96" s="3" t="s">
        <v>18</v>
      </c>
      <c r="F96" s="3" t="s">
        <v>28</v>
      </c>
      <c r="G96" s="3">
        <v>4</v>
      </c>
      <c r="H96" s="3">
        <v>18000</v>
      </c>
      <c r="I96" s="3">
        <v>0.02</v>
      </c>
      <c r="J96" s="3">
        <v>70560</v>
      </c>
      <c r="K96" s="3">
        <v>47980.800000000003</v>
      </c>
      <c r="L96" s="3">
        <v>22579.199999999997</v>
      </c>
    </row>
    <row r="97" spans="1:12" x14ac:dyDescent="0.35">
      <c r="A97" s="1" t="s">
        <v>218</v>
      </c>
      <c r="B97" s="4">
        <v>45939</v>
      </c>
      <c r="C97" s="1" t="s">
        <v>219</v>
      </c>
      <c r="D97" s="1" t="s">
        <v>12</v>
      </c>
      <c r="E97" s="1" t="s">
        <v>27</v>
      </c>
      <c r="F97" s="1" t="s">
        <v>81</v>
      </c>
      <c r="G97" s="1">
        <v>6</v>
      </c>
      <c r="H97" s="1">
        <v>9500</v>
      </c>
      <c r="I97" s="1">
        <v>0</v>
      </c>
      <c r="J97" s="1">
        <v>57000</v>
      </c>
      <c r="K97" s="1">
        <v>35340</v>
      </c>
      <c r="L97" s="1">
        <v>21660</v>
      </c>
    </row>
    <row r="98" spans="1:12" x14ac:dyDescent="0.35">
      <c r="A98" s="3" t="s">
        <v>220</v>
      </c>
      <c r="B98" s="2">
        <v>46017</v>
      </c>
      <c r="C98" s="3" t="s">
        <v>221</v>
      </c>
      <c r="D98" s="3" t="s">
        <v>17</v>
      </c>
      <c r="E98" s="3" t="s">
        <v>13</v>
      </c>
      <c r="F98" s="3" t="s">
        <v>39</v>
      </c>
      <c r="G98" s="3">
        <v>10</v>
      </c>
      <c r="H98" s="3">
        <v>250</v>
      </c>
      <c r="I98" s="3">
        <v>0</v>
      </c>
      <c r="J98" s="3">
        <v>2500</v>
      </c>
      <c r="K98" s="3">
        <v>1650</v>
      </c>
      <c r="L98" s="3">
        <v>850</v>
      </c>
    </row>
    <row r="99" spans="1:12" x14ac:dyDescent="0.35">
      <c r="A99" s="1" t="s">
        <v>222</v>
      </c>
      <c r="B99" s="4">
        <v>45907</v>
      </c>
      <c r="C99" s="1" t="s">
        <v>223</v>
      </c>
      <c r="D99" s="1" t="s">
        <v>22</v>
      </c>
      <c r="E99" s="1" t="s">
        <v>27</v>
      </c>
      <c r="F99" s="1" t="s">
        <v>19</v>
      </c>
      <c r="G99" s="1">
        <v>9</v>
      </c>
      <c r="H99" s="1">
        <v>1800</v>
      </c>
      <c r="I99" s="1">
        <v>0</v>
      </c>
      <c r="J99" s="1">
        <v>16200</v>
      </c>
      <c r="K99" s="1">
        <v>12150</v>
      </c>
      <c r="L99" s="1">
        <v>4050</v>
      </c>
    </row>
    <row r="100" spans="1:12" x14ac:dyDescent="0.35">
      <c r="A100" s="3" t="s">
        <v>224</v>
      </c>
      <c r="B100" s="2">
        <v>45870</v>
      </c>
      <c r="C100" s="3" t="s">
        <v>225</v>
      </c>
      <c r="D100" s="3" t="s">
        <v>17</v>
      </c>
      <c r="E100" s="3" t="s">
        <v>13</v>
      </c>
      <c r="F100" s="3" t="s">
        <v>32</v>
      </c>
      <c r="G100" s="3">
        <v>7</v>
      </c>
      <c r="H100" s="3">
        <v>15000</v>
      </c>
      <c r="I100" s="3">
        <v>0.02</v>
      </c>
      <c r="J100" s="3">
        <v>102900</v>
      </c>
      <c r="K100" s="3">
        <v>78204</v>
      </c>
      <c r="L100" s="3">
        <v>24696</v>
      </c>
    </row>
    <row r="101" spans="1:12" x14ac:dyDescent="0.35">
      <c r="A101" s="1" t="s">
        <v>226</v>
      </c>
      <c r="B101" s="4">
        <v>46011</v>
      </c>
      <c r="C101" s="1" t="s">
        <v>227</v>
      </c>
      <c r="D101" s="1" t="s">
        <v>12</v>
      </c>
      <c r="E101" s="1" t="s">
        <v>18</v>
      </c>
      <c r="F101" s="1" t="s">
        <v>39</v>
      </c>
      <c r="G101" s="1">
        <v>10</v>
      </c>
      <c r="H101" s="1">
        <v>250</v>
      </c>
      <c r="I101" s="1">
        <v>0</v>
      </c>
      <c r="J101" s="1">
        <v>2500</v>
      </c>
      <c r="K101" s="1">
        <v>1750</v>
      </c>
      <c r="L101" s="1">
        <v>750</v>
      </c>
    </row>
    <row r="102" spans="1:12" x14ac:dyDescent="0.35">
      <c r="A102" s="3" t="s">
        <v>228</v>
      </c>
      <c r="B102" s="2">
        <v>45811</v>
      </c>
      <c r="C102" s="3" t="s">
        <v>229</v>
      </c>
      <c r="D102" s="3" t="s">
        <v>12</v>
      </c>
      <c r="E102" s="3" t="s">
        <v>18</v>
      </c>
      <c r="F102" s="3" t="s">
        <v>44</v>
      </c>
      <c r="G102" s="3">
        <v>7</v>
      </c>
      <c r="H102" s="3">
        <v>12500</v>
      </c>
      <c r="I102" s="3">
        <v>0.1</v>
      </c>
      <c r="J102" s="3">
        <v>78750</v>
      </c>
      <c r="K102" s="3">
        <v>50400</v>
      </c>
      <c r="L102" s="3">
        <v>28350</v>
      </c>
    </row>
    <row r="103" spans="1:12" x14ac:dyDescent="0.35">
      <c r="A103" s="1" t="s">
        <v>230</v>
      </c>
      <c r="B103" s="4">
        <v>45921</v>
      </c>
      <c r="C103" s="1" t="s">
        <v>231</v>
      </c>
      <c r="D103" s="1" t="s">
        <v>31</v>
      </c>
      <c r="E103" s="1" t="s">
        <v>23</v>
      </c>
      <c r="F103" s="1" t="s">
        <v>81</v>
      </c>
      <c r="G103" s="1">
        <v>9</v>
      </c>
      <c r="H103" s="1">
        <v>9500</v>
      </c>
      <c r="I103" s="1">
        <v>0.02</v>
      </c>
      <c r="J103" s="1">
        <v>83790</v>
      </c>
      <c r="K103" s="1">
        <v>62004.6</v>
      </c>
      <c r="L103" s="1">
        <v>21785.4</v>
      </c>
    </row>
    <row r="104" spans="1:12" x14ac:dyDescent="0.35">
      <c r="A104" s="3" t="s">
        <v>232</v>
      </c>
      <c r="B104" s="2">
        <v>45972</v>
      </c>
      <c r="C104" s="3" t="s">
        <v>233</v>
      </c>
      <c r="D104" s="3" t="s">
        <v>17</v>
      </c>
      <c r="E104" s="3" t="s">
        <v>27</v>
      </c>
      <c r="F104" s="3" t="s">
        <v>44</v>
      </c>
      <c r="G104" s="3">
        <v>8</v>
      </c>
      <c r="H104" s="3">
        <v>12500</v>
      </c>
      <c r="I104" s="3">
        <v>0.15</v>
      </c>
      <c r="J104" s="3">
        <v>85000</v>
      </c>
      <c r="K104" s="3">
        <v>51850</v>
      </c>
      <c r="L104" s="3">
        <v>33150</v>
      </c>
    </row>
    <row r="105" spans="1:12" x14ac:dyDescent="0.35">
      <c r="A105" s="1" t="s">
        <v>234</v>
      </c>
      <c r="B105" s="4">
        <v>45976</v>
      </c>
      <c r="C105" s="1" t="s">
        <v>235</v>
      </c>
      <c r="D105" s="1" t="s">
        <v>17</v>
      </c>
      <c r="E105" s="1" t="s">
        <v>23</v>
      </c>
      <c r="F105" s="1" t="s">
        <v>81</v>
      </c>
      <c r="G105" s="1">
        <v>6</v>
      </c>
      <c r="H105" s="1">
        <v>9500</v>
      </c>
      <c r="I105" s="1">
        <v>0.15</v>
      </c>
      <c r="J105" s="1">
        <v>48450</v>
      </c>
      <c r="K105" s="1">
        <v>31977</v>
      </c>
      <c r="L105" s="1">
        <v>16473</v>
      </c>
    </row>
    <row r="106" spans="1:12" x14ac:dyDescent="0.35">
      <c r="A106" s="3" t="s">
        <v>236</v>
      </c>
      <c r="B106" s="2">
        <v>45922</v>
      </c>
      <c r="C106" s="3" t="s">
        <v>237</v>
      </c>
      <c r="D106" s="3" t="s">
        <v>31</v>
      </c>
      <c r="E106" s="3" t="s">
        <v>18</v>
      </c>
      <c r="F106" s="3" t="s">
        <v>32</v>
      </c>
      <c r="G106" s="3">
        <v>1</v>
      </c>
      <c r="H106" s="3">
        <v>15000</v>
      </c>
      <c r="I106" s="3">
        <v>0.1</v>
      </c>
      <c r="J106" s="3">
        <v>13500</v>
      </c>
      <c r="K106" s="3">
        <v>9990</v>
      </c>
      <c r="L106" s="3">
        <v>3510</v>
      </c>
    </row>
    <row r="107" spans="1:12" x14ac:dyDescent="0.35">
      <c r="A107" s="1" t="s">
        <v>238</v>
      </c>
      <c r="B107" s="4">
        <v>46011</v>
      </c>
      <c r="C107" s="1" t="s">
        <v>239</v>
      </c>
      <c r="D107" s="1" t="s">
        <v>22</v>
      </c>
      <c r="E107" s="1" t="s">
        <v>27</v>
      </c>
      <c r="F107" s="1" t="s">
        <v>70</v>
      </c>
      <c r="G107" s="1">
        <v>1</v>
      </c>
      <c r="H107" s="1">
        <v>28000</v>
      </c>
      <c r="I107" s="1">
        <v>0.02</v>
      </c>
      <c r="J107" s="1">
        <v>27440</v>
      </c>
      <c r="K107" s="1">
        <v>16738.400000000001</v>
      </c>
      <c r="L107" s="1">
        <v>10701.599999999999</v>
      </c>
    </row>
    <row r="108" spans="1:12" x14ac:dyDescent="0.35">
      <c r="A108" s="3" t="s">
        <v>240</v>
      </c>
      <c r="B108" s="2">
        <v>45691</v>
      </c>
      <c r="C108" s="3" t="s">
        <v>241</v>
      </c>
      <c r="D108" s="3" t="s">
        <v>31</v>
      </c>
      <c r="E108" s="3" t="s">
        <v>13</v>
      </c>
      <c r="F108" s="3" t="s">
        <v>14</v>
      </c>
      <c r="G108" s="3">
        <v>9</v>
      </c>
      <c r="H108" s="3">
        <v>65000</v>
      </c>
      <c r="I108" s="3">
        <v>0.08</v>
      </c>
      <c r="J108" s="3">
        <v>538200</v>
      </c>
      <c r="K108" s="3">
        <v>376740</v>
      </c>
      <c r="L108" s="3">
        <v>161460</v>
      </c>
    </row>
    <row r="109" spans="1:12" x14ac:dyDescent="0.35">
      <c r="A109" s="1" t="s">
        <v>242</v>
      </c>
      <c r="B109" s="4">
        <v>45783</v>
      </c>
      <c r="C109" s="1" t="s">
        <v>243</v>
      </c>
      <c r="D109" s="1" t="s">
        <v>12</v>
      </c>
      <c r="E109" s="1" t="s">
        <v>23</v>
      </c>
      <c r="F109" s="1" t="s">
        <v>28</v>
      </c>
      <c r="G109" s="1">
        <v>3</v>
      </c>
      <c r="H109" s="1">
        <v>18000</v>
      </c>
      <c r="I109" s="1">
        <v>0.15</v>
      </c>
      <c r="J109" s="1">
        <v>45900</v>
      </c>
      <c r="K109" s="1">
        <v>28458</v>
      </c>
      <c r="L109" s="1">
        <v>17442</v>
      </c>
    </row>
    <row r="110" spans="1:12" x14ac:dyDescent="0.35">
      <c r="A110" s="3" t="s">
        <v>244</v>
      </c>
      <c r="B110" s="2">
        <v>45985</v>
      </c>
      <c r="C110" s="3" t="s">
        <v>245</v>
      </c>
      <c r="D110" s="3" t="s">
        <v>17</v>
      </c>
      <c r="E110" s="3" t="s">
        <v>18</v>
      </c>
      <c r="F110" s="3" t="s">
        <v>28</v>
      </c>
      <c r="G110" s="3">
        <v>7</v>
      </c>
      <c r="H110" s="3">
        <v>18000</v>
      </c>
      <c r="I110" s="3">
        <v>0.1</v>
      </c>
      <c r="J110" s="3">
        <v>113400</v>
      </c>
      <c r="K110" s="3">
        <v>85050</v>
      </c>
      <c r="L110" s="3">
        <v>28350</v>
      </c>
    </row>
    <row r="111" spans="1:12" x14ac:dyDescent="0.35">
      <c r="A111" s="1" t="s">
        <v>246</v>
      </c>
      <c r="B111" s="4">
        <v>45920</v>
      </c>
      <c r="C111" s="1" t="s">
        <v>247</v>
      </c>
      <c r="D111" s="1" t="s">
        <v>17</v>
      </c>
      <c r="E111" s="1" t="s">
        <v>23</v>
      </c>
      <c r="F111" s="1" t="s">
        <v>44</v>
      </c>
      <c r="G111" s="1">
        <v>4</v>
      </c>
      <c r="H111" s="1">
        <v>12500</v>
      </c>
      <c r="I111" s="1">
        <v>0.08</v>
      </c>
      <c r="J111" s="1">
        <v>46000</v>
      </c>
      <c r="K111" s="1">
        <v>32660</v>
      </c>
      <c r="L111" s="1">
        <v>13340</v>
      </c>
    </row>
    <row r="112" spans="1:12" x14ac:dyDescent="0.35">
      <c r="A112" s="3" t="s">
        <v>248</v>
      </c>
      <c r="B112" s="2">
        <v>45831</v>
      </c>
      <c r="C112" s="3" t="s">
        <v>249</v>
      </c>
      <c r="D112" s="3" t="s">
        <v>22</v>
      </c>
      <c r="E112" s="3" t="s">
        <v>27</v>
      </c>
      <c r="F112" s="3" t="s">
        <v>39</v>
      </c>
      <c r="G112" s="3">
        <v>6</v>
      </c>
      <c r="H112" s="3">
        <v>250</v>
      </c>
      <c r="I112" s="3">
        <v>0.1</v>
      </c>
      <c r="J112" s="3">
        <v>1350</v>
      </c>
      <c r="K112" s="3">
        <v>877.5</v>
      </c>
      <c r="L112" s="3">
        <v>472.5</v>
      </c>
    </row>
    <row r="113" spans="1:12" x14ac:dyDescent="0.35">
      <c r="A113" s="1" t="s">
        <v>250</v>
      </c>
      <c r="B113" s="4">
        <v>45738</v>
      </c>
      <c r="C113" s="1" t="s">
        <v>251</v>
      </c>
      <c r="D113" s="1" t="s">
        <v>22</v>
      </c>
      <c r="E113" s="1" t="s">
        <v>18</v>
      </c>
      <c r="F113" s="1" t="s">
        <v>32</v>
      </c>
      <c r="G113" s="1">
        <v>3</v>
      </c>
      <c r="H113" s="1">
        <v>15000</v>
      </c>
      <c r="I113" s="1">
        <v>0.02</v>
      </c>
      <c r="J113" s="1">
        <v>44100</v>
      </c>
      <c r="K113" s="1">
        <v>27783</v>
      </c>
      <c r="L113" s="1">
        <v>16317</v>
      </c>
    </row>
    <row r="114" spans="1:12" x14ac:dyDescent="0.35">
      <c r="A114" s="3" t="s">
        <v>252</v>
      </c>
      <c r="B114" s="2">
        <v>45703</v>
      </c>
      <c r="C114" s="3" t="s">
        <v>253</v>
      </c>
      <c r="D114" s="3" t="s">
        <v>12</v>
      </c>
      <c r="E114" s="3" t="s">
        <v>18</v>
      </c>
      <c r="F114" s="3" t="s">
        <v>28</v>
      </c>
      <c r="G114" s="3">
        <v>10</v>
      </c>
      <c r="H114" s="3">
        <v>18000</v>
      </c>
      <c r="I114" s="3">
        <v>0.02</v>
      </c>
      <c r="J114" s="3">
        <v>176400</v>
      </c>
      <c r="K114" s="3">
        <v>111132</v>
      </c>
      <c r="L114" s="3">
        <v>65268</v>
      </c>
    </row>
    <row r="115" spans="1:12" x14ac:dyDescent="0.35">
      <c r="A115" s="1" t="s">
        <v>254</v>
      </c>
      <c r="B115" s="4">
        <v>45706</v>
      </c>
      <c r="C115" s="1" t="s">
        <v>255</v>
      </c>
      <c r="D115" s="1" t="s">
        <v>22</v>
      </c>
      <c r="E115" s="1" t="s">
        <v>27</v>
      </c>
      <c r="F115" s="1" t="s">
        <v>81</v>
      </c>
      <c r="G115" s="1">
        <v>7</v>
      </c>
      <c r="H115" s="1">
        <v>9500</v>
      </c>
      <c r="I115" s="1">
        <v>0.05</v>
      </c>
      <c r="J115" s="1">
        <v>63175</v>
      </c>
      <c r="K115" s="1">
        <v>46749.5</v>
      </c>
      <c r="L115" s="1">
        <v>16425.5</v>
      </c>
    </row>
    <row r="116" spans="1:12" x14ac:dyDescent="0.35">
      <c r="A116" s="3" t="s">
        <v>256</v>
      </c>
      <c r="B116" s="2">
        <v>45886</v>
      </c>
      <c r="C116" s="3" t="s">
        <v>257</v>
      </c>
      <c r="D116" s="3" t="s">
        <v>31</v>
      </c>
      <c r="E116" s="3" t="s">
        <v>13</v>
      </c>
      <c r="F116" s="3" t="s">
        <v>70</v>
      </c>
      <c r="G116" s="3">
        <v>8</v>
      </c>
      <c r="H116" s="3">
        <v>28000</v>
      </c>
      <c r="I116" s="3">
        <v>0.1</v>
      </c>
      <c r="J116" s="3">
        <v>201600</v>
      </c>
      <c r="K116" s="3">
        <v>153216</v>
      </c>
      <c r="L116" s="3">
        <v>48384</v>
      </c>
    </row>
    <row r="117" spans="1:12" x14ac:dyDescent="0.35">
      <c r="A117" s="1" t="s">
        <v>258</v>
      </c>
      <c r="B117" s="4">
        <v>45757</v>
      </c>
      <c r="C117" s="1" t="s">
        <v>259</v>
      </c>
      <c r="D117" s="1" t="s">
        <v>12</v>
      </c>
      <c r="E117" s="1" t="s">
        <v>23</v>
      </c>
      <c r="F117" s="1" t="s">
        <v>39</v>
      </c>
      <c r="G117" s="1">
        <v>7</v>
      </c>
      <c r="H117" s="1">
        <v>250</v>
      </c>
      <c r="I117" s="1">
        <v>0</v>
      </c>
      <c r="J117" s="1">
        <v>1750</v>
      </c>
      <c r="K117" s="1">
        <v>1330</v>
      </c>
      <c r="L117" s="1">
        <v>420</v>
      </c>
    </row>
    <row r="118" spans="1:12" x14ac:dyDescent="0.35">
      <c r="A118" s="3" t="s">
        <v>260</v>
      </c>
      <c r="B118" s="2">
        <v>45669</v>
      </c>
      <c r="C118" s="3" t="s">
        <v>261</v>
      </c>
      <c r="D118" s="3" t="s">
        <v>17</v>
      </c>
      <c r="E118" s="3" t="s">
        <v>13</v>
      </c>
      <c r="F118" s="3" t="s">
        <v>14</v>
      </c>
      <c r="G118" s="3">
        <v>1</v>
      </c>
      <c r="H118" s="3">
        <v>65000</v>
      </c>
      <c r="I118" s="3">
        <v>0.15</v>
      </c>
      <c r="J118" s="3">
        <v>55250</v>
      </c>
      <c r="K118" s="3">
        <v>44200</v>
      </c>
      <c r="L118" s="3">
        <v>11050</v>
      </c>
    </row>
    <row r="119" spans="1:12" x14ac:dyDescent="0.35">
      <c r="A119" s="1" t="s">
        <v>262</v>
      </c>
      <c r="B119" s="4">
        <v>45958</v>
      </c>
      <c r="C119" s="1" t="s">
        <v>263</v>
      </c>
      <c r="D119" s="1" t="s">
        <v>22</v>
      </c>
      <c r="E119" s="1" t="s">
        <v>27</v>
      </c>
      <c r="F119" s="1" t="s">
        <v>81</v>
      </c>
      <c r="G119" s="1">
        <v>4</v>
      </c>
      <c r="H119" s="1">
        <v>9500</v>
      </c>
      <c r="I119" s="1">
        <v>0.05</v>
      </c>
      <c r="J119" s="1">
        <v>36100</v>
      </c>
      <c r="K119" s="1">
        <v>24548</v>
      </c>
      <c r="L119" s="1">
        <v>11552</v>
      </c>
    </row>
    <row r="120" spans="1:12" x14ac:dyDescent="0.35">
      <c r="A120" s="3" t="s">
        <v>264</v>
      </c>
      <c r="B120" s="2">
        <v>45788</v>
      </c>
      <c r="C120" s="3" t="s">
        <v>265</v>
      </c>
      <c r="D120" s="3" t="s">
        <v>22</v>
      </c>
      <c r="E120" s="3" t="s">
        <v>18</v>
      </c>
      <c r="F120" s="3" t="s">
        <v>51</v>
      </c>
      <c r="G120" s="3">
        <v>9</v>
      </c>
      <c r="H120" s="3">
        <v>4500</v>
      </c>
      <c r="I120" s="3">
        <v>0.15</v>
      </c>
      <c r="J120" s="3">
        <v>34425</v>
      </c>
      <c r="K120" s="3">
        <v>25130.25</v>
      </c>
      <c r="L120" s="3">
        <v>9294.75</v>
      </c>
    </row>
    <row r="121" spans="1:12" x14ac:dyDescent="0.35">
      <c r="A121" s="1" t="s">
        <v>266</v>
      </c>
      <c r="B121" s="4">
        <v>45993</v>
      </c>
      <c r="C121" s="1" t="s">
        <v>267</v>
      </c>
      <c r="D121" s="1" t="s">
        <v>31</v>
      </c>
      <c r="E121" s="1" t="s">
        <v>23</v>
      </c>
      <c r="F121" s="1" t="s">
        <v>32</v>
      </c>
      <c r="G121" s="1">
        <v>3</v>
      </c>
      <c r="H121" s="1">
        <v>15000</v>
      </c>
      <c r="I121" s="1">
        <v>0.05</v>
      </c>
      <c r="J121" s="1">
        <v>42750</v>
      </c>
      <c r="K121" s="1">
        <v>32917.5</v>
      </c>
      <c r="L121" s="1">
        <v>9832.5</v>
      </c>
    </row>
    <row r="122" spans="1:12" x14ac:dyDescent="0.35">
      <c r="A122" s="3" t="s">
        <v>268</v>
      </c>
      <c r="B122" s="2">
        <v>45678</v>
      </c>
      <c r="C122" s="3" t="s">
        <v>269</v>
      </c>
      <c r="D122" s="3" t="s">
        <v>17</v>
      </c>
      <c r="E122" s="3" t="s">
        <v>23</v>
      </c>
      <c r="F122" s="3" t="s">
        <v>32</v>
      </c>
      <c r="G122" s="3">
        <v>9</v>
      </c>
      <c r="H122" s="3">
        <v>15000</v>
      </c>
      <c r="I122" s="3">
        <v>0</v>
      </c>
      <c r="J122" s="3">
        <v>135000</v>
      </c>
      <c r="K122" s="3">
        <v>89100</v>
      </c>
      <c r="L122" s="3">
        <v>45900</v>
      </c>
    </row>
    <row r="123" spans="1:12" x14ac:dyDescent="0.35">
      <c r="A123" s="1" t="s">
        <v>270</v>
      </c>
      <c r="B123" s="4">
        <v>46017</v>
      </c>
      <c r="C123" s="1" t="s">
        <v>271</v>
      </c>
      <c r="D123" s="1" t="s">
        <v>22</v>
      </c>
      <c r="E123" s="1" t="s">
        <v>27</v>
      </c>
      <c r="F123" s="1" t="s">
        <v>28</v>
      </c>
      <c r="G123" s="1">
        <v>5</v>
      </c>
      <c r="H123" s="1">
        <v>18000</v>
      </c>
      <c r="I123" s="1">
        <v>0.05</v>
      </c>
      <c r="J123" s="1">
        <v>85500</v>
      </c>
      <c r="K123" s="1">
        <v>53010</v>
      </c>
      <c r="L123" s="1">
        <v>32490</v>
      </c>
    </row>
    <row r="124" spans="1:12" x14ac:dyDescent="0.35">
      <c r="A124" s="3" t="s">
        <v>272</v>
      </c>
      <c r="B124" s="2">
        <v>45765</v>
      </c>
      <c r="C124" s="3" t="s">
        <v>273</v>
      </c>
      <c r="D124" s="3" t="s">
        <v>17</v>
      </c>
      <c r="E124" s="3" t="s">
        <v>23</v>
      </c>
      <c r="F124" s="3" t="s">
        <v>81</v>
      </c>
      <c r="G124" s="3">
        <v>6</v>
      </c>
      <c r="H124" s="3">
        <v>9500</v>
      </c>
      <c r="I124" s="3">
        <v>0.15</v>
      </c>
      <c r="J124" s="3">
        <v>48450</v>
      </c>
      <c r="K124" s="3">
        <v>31008</v>
      </c>
      <c r="L124" s="3">
        <v>17442</v>
      </c>
    </row>
    <row r="125" spans="1:12" x14ac:dyDescent="0.35">
      <c r="A125" s="1" t="s">
        <v>274</v>
      </c>
      <c r="B125" s="4">
        <v>45689</v>
      </c>
      <c r="C125" s="1" t="s">
        <v>275</v>
      </c>
      <c r="D125" s="1" t="s">
        <v>17</v>
      </c>
      <c r="E125" s="1" t="s">
        <v>13</v>
      </c>
      <c r="F125" s="1" t="s">
        <v>51</v>
      </c>
      <c r="G125" s="1">
        <v>6</v>
      </c>
      <c r="H125" s="1">
        <v>4500</v>
      </c>
      <c r="I125" s="1">
        <v>0.02</v>
      </c>
      <c r="J125" s="1">
        <v>26460</v>
      </c>
      <c r="K125" s="1">
        <v>17728.2</v>
      </c>
      <c r="L125" s="1">
        <v>8731.7999999999993</v>
      </c>
    </row>
    <row r="126" spans="1:12" x14ac:dyDescent="0.35">
      <c r="A126" s="3" t="s">
        <v>276</v>
      </c>
      <c r="B126" s="2">
        <v>45763</v>
      </c>
      <c r="C126" s="3" t="s">
        <v>277</v>
      </c>
      <c r="D126" s="3" t="s">
        <v>22</v>
      </c>
      <c r="E126" s="3" t="s">
        <v>18</v>
      </c>
      <c r="F126" s="3" t="s">
        <v>70</v>
      </c>
      <c r="G126" s="3">
        <v>1</v>
      </c>
      <c r="H126" s="3">
        <v>28000</v>
      </c>
      <c r="I126" s="3">
        <v>0.15</v>
      </c>
      <c r="J126" s="3">
        <v>23800</v>
      </c>
      <c r="K126" s="3">
        <v>16422</v>
      </c>
      <c r="L126" s="3">
        <v>7378</v>
      </c>
    </row>
    <row r="127" spans="1:12" x14ac:dyDescent="0.35">
      <c r="A127" s="1" t="s">
        <v>278</v>
      </c>
      <c r="B127" s="4">
        <v>45658</v>
      </c>
      <c r="C127" s="1" t="s">
        <v>279</v>
      </c>
      <c r="D127" s="1" t="s">
        <v>12</v>
      </c>
      <c r="E127" s="1" t="s">
        <v>13</v>
      </c>
      <c r="F127" s="1" t="s">
        <v>81</v>
      </c>
      <c r="G127" s="1">
        <v>3</v>
      </c>
      <c r="H127" s="1">
        <v>9500</v>
      </c>
      <c r="I127" s="1">
        <v>0</v>
      </c>
      <c r="J127" s="1">
        <v>28500</v>
      </c>
      <c r="K127" s="1">
        <v>17955</v>
      </c>
      <c r="L127" s="1">
        <v>10545</v>
      </c>
    </row>
    <row r="128" spans="1:12" x14ac:dyDescent="0.35">
      <c r="A128" s="3" t="s">
        <v>280</v>
      </c>
      <c r="B128" s="2">
        <v>45833</v>
      </c>
      <c r="C128" s="3" t="s">
        <v>281</v>
      </c>
      <c r="D128" s="3" t="s">
        <v>31</v>
      </c>
      <c r="E128" s="3" t="s">
        <v>27</v>
      </c>
      <c r="F128" s="3" t="s">
        <v>28</v>
      </c>
      <c r="G128" s="3">
        <v>5</v>
      </c>
      <c r="H128" s="3">
        <v>18000</v>
      </c>
      <c r="I128" s="3">
        <v>0.1</v>
      </c>
      <c r="J128" s="3">
        <v>81000</v>
      </c>
      <c r="K128" s="3">
        <v>61560</v>
      </c>
      <c r="L128" s="3">
        <v>19440</v>
      </c>
    </row>
    <row r="129" spans="1:12" x14ac:dyDescent="0.35">
      <c r="A129" s="1" t="s">
        <v>282</v>
      </c>
      <c r="B129" s="4">
        <v>45942</v>
      </c>
      <c r="C129" s="1" t="s">
        <v>283</v>
      </c>
      <c r="D129" s="1" t="s">
        <v>17</v>
      </c>
      <c r="E129" s="1" t="s">
        <v>23</v>
      </c>
      <c r="F129" s="1" t="s">
        <v>70</v>
      </c>
      <c r="G129" s="1">
        <v>10</v>
      </c>
      <c r="H129" s="1">
        <v>28000</v>
      </c>
      <c r="I129" s="1">
        <v>0.05</v>
      </c>
      <c r="J129" s="1">
        <v>266000</v>
      </c>
      <c r="K129" s="1">
        <v>202160</v>
      </c>
      <c r="L129" s="1">
        <v>63840</v>
      </c>
    </row>
    <row r="130" spans="1:12" x14ac:dyDescent="0.35">
      <c r="A130" s="3" t="s">
        <v>284</v>
      </c>
      <c r="B130" s="2">
        <v>45971</v>
      </c>
      <c r="C130" s="3" t="s">
        <v>285</v>
      </c>
      <c r="D130" s="3" t="s">
        <v>12</v>
      </c>
      <c r="E130" s="3" t="s">
        <v>18</v>
      </c>
      <c r="F130" s="3" t="s">
        <v>14</v>
      </c>
      <c r="G130" s="3">
        <v>2</v>
      </c>
      <c r="H130" s="3">
        <v>65000</v>
      </c>
      <c r="I130" s="3">
        <v>0.05</v>
      </c>
      <c r="J130" s="3">
        <v>123500</v>
      </c>
      <c r="K130" s="3">
        <v>74100</v>
      </c>
      <c r="L130" s="3">
        <v>49400</v>
      </c>
    </row>
    <row r="131" spans="1:12" x14ac:dyDescent="0.35">
      <c r="A131" s="1" t="s">
        <v>286</v>
      </c>
      <c r="B131" s="4">
        <v>45851</v>
      </c>
      <c r="C131" s="1" t="s">
        <v>287</v>
      </c>
      <c r="D131" s="1" t="s">
        <v>12</v>
      </c>
      <c r="E131" s="1" t="s">
        <v>27</v>
      </c>
      <c r="F131" s="1" t="s">
        <v>28</v>
      </c>
      <c r="G131" s="1">
        <v>9</v>
      </c>
      <c r="H131" s="1">
        <v>18000</v>
      </c>
      <c r="I131" s="1">
        <v>0.05</v>
      </c>
      <c r="J131" s="1">
        <v>153900</v>
      </c>
      <c r="K131" s="1">
        <v>121581</v>
      </c>
      <c r="L131" s="1">
        <v>32319</v>
      </c>
    </row>
    <row r="132" spans="1:12" x14ac:dyDescent="0.35">
      <c r="A132" s="3" t="s">
        <v>288</v>
      </c>
      <c r="B132" s="2">
        <v>45782</v>
      </c>
      <c r="C132" s="3" t="s">
        <v>289</v>
      </c>
      <c r="D132" s="3" t="s">
        <v>17</v>
      </c>
      <c r="E132" s="3" t="s">
        <v>23</v>
      </c>
      <c r="F132" s="3" t="s">
        <v>81</v>
      </c>
      <c r="G132" s="3">
        <v>10</v>
      </c>
      <c r="H132" s="3">
        <v>9500</v>
      </c>
      <c r="I132" s="3">
        <v>0</v>
      </c>
      <c r="J132" s="3">
        <v>95000</v>
      </c>
      <c r="K132" s="3">
        <v>75050</v>
      </c>
      <c r="L132" s="3">
        <v>19950</v>
      </c>
    </row>
    <row r="133" spans="1:12" x14ac:dyDescent="0.35">
      <c r="A133" s="1" t="s">
        <v>290</v>
      </c>
      <c r="B133" s="4">
        <v>45748</v>
      </c>
      <c r="C133" s="1" t="s">
        <v>291</v>
      </c>
      <c r="D133" s="1" t="s">
        <v>12</v>
      </c>
      <c r="E133" s="1" t="s">
        <v>18</v>
      </c>
      <c r="F133" s="1" t="s">
        <v>32</v>
      </c>
      <c r="G133" s="1">
        <v>3</v>
      </c>
      <c r="H133" s="1">
        <v>15000</v>
      </c>
      <c r="I133" s="1">
        <v>0</v>
      </c>
      <c r="J133" s="1">
        <v>45000</v>
      </c>
      <c r="K133" s="1">
        <v>32400</v>
      </c>
      <c r="L133" s="1">
        <v>12600</v>
      </c>
    </row>
    <row r="134" spans="1:12" x14ac:dyDescent="0.35">
      <c r="A134" s="3" t="s">
        <v>292</v>
      </c>
      <c r="B134" s="2">
        <v>45886</v>
      </c>
      <c r="C134" s="3" t="s">
        <v>293</v>
      </c>
      <c r="D134" s="3" t="s">
        <v>17</v>
      </c>
      <c r="E134" s="3" t="s">
        <v>23</v>
      </c>
      <c r="F134" s="3" t="s">
        <v>19</v>
      </c>
      <c r="G134" s="3">
        <v>10</v>
      </c>
      <c r="H134" s="3">
        <v>1800</v>
      </c>
      <c r="I134" s="3">
        <v>0.08</v>
      </c>
      <c r="J134" s="3">
        <v>16560</v>
      </c>
      <c r="K134" s="3">
        <v>12088.8</v>
      </c>
      <c r="L134" s="3">
        <v>4471.2000000000007</v>
      </c>
    </row>
    <row r="135" spans="1:12" x14ac:dyDescent="0.35">
      <c r="A135" s="1" t="s">
        <v>294</v>
      </c>
      <c r="B135" s="4">
        <v>46007</v>
      </c>
      <c r="C135" s="1" t="s">
        <v>295</v>
      </c>
      <c r="D135" s="1" t="s">
        <v>31</v>
      </c>
      <c r="E135" s="1" t="s">
        <v>18</v>
      </c>
      <c r="F135" s="1" t="s">
        <v>51</v>
      </c>
      <c r="G135" s="1">
        <v>7</v>
      </c>
      <c r="H135" s="1">
        <v>4500</v>
      </c>
      <c r="I135" s="1">
        <v>0.15</v>
      </c>
      <c r="J135" s="1">
        <v>26775</v>
      </c>
      <c r="K135" s="1">
        <v>19278</v>
      </c>
      <c r="L135" s="1">
        <v>7497</v>
      </c>
    </row>
    <row r="136" spans="1:12" x14ac:dyDescent="0.35">
      <c r="A136" s="3" t="s">
        <v>296</v>
      </c>
      <c r="B136" s="2">
        <v>45948</v>
      </c>
      <c r="C136" s="3" t="s">
        <v>297</v>
      </c>
      <c r="D136" s="3" t="s">
        <v>22</v>
      </c>
      <c r="E136" s="3" t="s">
        <v>23</v>
      </c>
      <c r="F136" s="3" t="s">
        <v>24</v>
      </c>
      <c r="G136" s="3">
        <v>6</v>
      </c>
      <c r="H136" s="3">
        <v>2200</v>
      </c>
      <c r="I136" s="3">
        <v>0.08</v>
      </c>
      <c r="J136" s="3">
        <v>12144</v>
      </c>
      <c r="K136" s="3">
        <v>9472.32</v>
      </c>
      <c r="L136" s="3">
        <v>2671.6800000000003</v>
      </c>
    </row>
    <row r="137" spans="1:12" x14ac:dyDescent="0.35">
      <c r="A137" s="1" t="s">
        <v>298</v>
      </c>
      <c r="B137" s="4">
        <v>45784</v>
      </c>
      <c r="C137" s="1" t="s">
        <v>299</v>
      </c>
      <c r="D137" s="1" t="s">
        <v>17</v>
      </c>
      <c r="E137" s="1" t="s">
        <v>13</v>
      </c>
      <c r="F137" s="1" t="s">
        <v>24</v>
      </c>
      <c r="G137" s="1">
        <v>9</v>
      </c>
      <c r="H137" s="1">
        <v>2200</v>
      </c>
      <c r="I137" s="1">
        <v>0.05</v>
      </c>
      <c r="J137" s="1">
        <v>18810</v>
      </c>
      <c r="K137" s="1">
        <v>12790.8</v>
      </c>
      <c r="L137" s="1">
        <v>6019.2000000000007</v>
      </c>
    </row>
    <row r="138" spans="1:12" x14ac:dyDescent="0.35">
      <c r="A138" s="3" t="s">
        <v>300</v>
      </c>
      <c r="B138" s="2">
        <v>45856</v>
      </c>
      <c r="C138" s="3" t="s">
        <v>301</v>
      </c>
      <c r="D138" s="3" t="s">
        <v>12</v>
      </c>
      <c r="E138" s="3" t="s">
        <v>13</v>
      </c>
      <c r="F138" s="3" t="s">
        <v>81</v>
      </c>
      <c r="G138" s="3">
        <v>9</v>
      </c>
      <c r="H138" s="3">
        <v>9500</v>
      </c>
      <c r="I138" s="3">
        <v>0.05</v>
      </c>
      <c r="J138" s="3">
        <v>81225</v>
      </c>
      <c r="K138" s="3">
        <v>51984</v>
      </c>
      <c r="L138" s="3">
        <v>29241</v>
      </c>
    </row>
    <row r="139" spans="1:12" x14ac:dyDescent="0.35">
      <c r="A139" s="1" t="s">
        <v>302</v>
      </c>
      <c r="B139" s="4">
        <v>45725</v>
      </c>
      <c r="C139" s="1" t="s">
        <v>303</v>
      </c>
      <c r="D139" s="1" t="s">
        <v>22</v>
      </c>
      <c r="E139" s="1" t="s">
        <v>27</v>
      </c>
      <c r="F139" s="1" t="s">
        <v>51</v>
      </c>
      <c r="G139" s="1">
        <v>5</v>
      </c>
      <c r="H139" s="1">
        <v>4500</v>
      </c>
      <c r="I139" s="1">
        <v>0.08</v>
      </c>
      <c r="J139" s="1">
        <v>20700</v>
      </c>
      <c r="K139" s="1">
        <v>14076</v>
      </c>
      <c r="L139" s="1">
        <v>6624</v>
      </c>
    </row>
    <row r="140" spans="1:12" x14ac:dyDescent="0.35">
      <c r="A140" s="3" t="s">
        <v>304</v>
      </c>
      <c r="B140" s="2">
        <v>45757</v>
      </c>
      <c r="C140" s="3" t="s">
        <v>305</v>
      </c>
      <c r="D140" s="3" t="s">
        <v>12</v>
      </c>
      <c r="E140" s="3" t="s">
        <v>23</v>
      </c>
      <c r="F140" s="3" t="s">
        <v>51</v>
      </c>
      <c r="G140" s="3">
        <v>10</v>
      </c>
      <c r="H140" s="3">
        <v>4500</v>
      </c>
      <c r="I140" s="3">
        <v>0.05</v>
      </c>
      <c r="J140" s="3">
        <v>42750</v>
      </c>
      <c r="K140" s="3">
        <v>30780</v>
      </c>
      <c r="L140" s="3">
        <v>11970</v>
      </c>
    </row>
    <row r="141" spans="1:12" x14ac:dyDescent="0.35">
      <c r="A141" s="1" t="s">
        <v>306</v>
      </c>
      <c r="B141" s="4">
        <v>46013</v>
      </c>
      <c r="C141" s="1" t="s">
        <v>307</v>
      </c>
      <c r="D141" s="1" t="s">
        <v>31</v>
      </c>
      <c r="E141" s="1" t="s">
        <v>27</v>
      </c>
      <c r="F141" s="1" t="s">
        <v>14</v>
      </c>
      <c r="G141" s="1">
        <v>1</v>
      </c>
      <c r="H141" s="1">
        <v>65000</v>
      </c>
      <c r="I141" s="1">
        <v>0</v>
      </c>
      <c r="J141" s="1">
        <v>65000</v>
      </c>
      <c r="K141" s="1">
        <v>43550</v>
      </c>
      <c r="L141" s="1">
        <v>21450</v>
      </c>
    </row>
    <row r="142" spans="1:12" x14ac:dyDescent="0.35">
      <c r="A142" s="3" t="s">
        <v>308</v>
      </c>
      <c r="B142" s="2">
        <v>45731</v>
      </c>
      <c r="C142" s="3" t="s">
        <v>309</v>
      </c>
      <c r="D142" s="3" t="s">
        <v>22</v>
      </c>
      <c r="E142" s="3" t="s">
        <v>18</v>
      </c>
      <c r="F142" s="3" t="s">
        <v>19</v>
      </c>
      <c r="G142" s="3">
        <v>6</v>
      </c>
      <c r="H142" s="3">
        <v>1800</v>
      </c>
      <c r="I142" s="3">
        <v>0.1</v>
      </c>
      <c r="J142" s="3">
        <v>9720</v>
      </c>
      <c r="K142" s="3">
        <v>5832</v>
      </c>
      <c r="L142" s="3">
        <v>3888</v>
      </c>
    </row>
    <row r="143" spans="1:12" x14ac:dyDescent="0.35">
      <c r="A143" s="1" t="s">
        <v>310</v>
      </c>
      <c r="B143" s="4">
        <v>45713</v>
      </c>
      <c r="C143" s="1" t="s">
        <v>311</v>
      </c>
      <c r="D143" s="1" t="s">
        <v>12</v>
      </c>
      <c r="E143" s="1" t="s">
        <v>18</v>
      </c>
      <c r="F143" s="1" t="s">
        <v>81</v>
      </c>
      <c r="G143" s="1">
        <v>1</v>
      </c>
      <c r="H143" s="1">
        <v>9500</v>
      </c>
      <c r="I143" s="1">
        <v>0</v>
      </c>
      <c r="J143" s="1">
        <v>9500</v>
      </c>
      <c r="K143" s="1">
        <v>6745</v>
      </c>
      <c r="L143" s="1">
        <v>2755</v>
      </c>
    </row>
    <row r="144" spans="1:12" x14ac:dyDescent="0.35">
      <c r="A144" s="3" t="s">
        <v>312</v>
      </c>
      <c r="B144" s="2">
        <v>45988</v>
      </c>
      <c r="C144" s="3" t="s">
        <v>313</v>
      </c>
      <c r="D144" s="3" t="s">
        <v>17</v>
      </c>
      <c r="E144" s="3" t="s">
        <v>18</v>
      </c>
      <c r="F144" s="3" t="s">
        <v>70</v>
      </c>
      <c r="G144" s="3">
        <v>5</v>
      </c>
      <c r="H144" s="3">
        <v>28000</v>
      </c>
      <c r="I144" s="3">
        <v>0.15</v>
      </c>
      <c r="J144" s="3">
        <v>119000</v>
      </c>
      <c r="K144" s="3">
        <v>91630</v>
      </c>
      <c r="L144" s="3">
        <v>27370</v>
      </c>
    </row>
    <row r="145" spans="1:12" x14ac:dyDescent="0.35">
      <c r="A145" s="1" t="s">
        <v>314</v>
      </c>
      <c r="B145" s="4">
        <v>45728</v>
      </c>
      <c r="C145" s="1" t="s">
        <v>315</v>
      </c>
      <c r="D145" s="1" t="s">
        <v>31</v>
      </c>
      <c r="E145" s="1" t="s">
        <v>23</v>
      </c>
      <c r="F145" s="1" t="s">
        <v>24</v>
      </c>
      <c r="G145" s="1">
        <v>6</v>
      </c>
      <c r="H145" s="1">
        <v>2200</v>
      </c>
      <c r="I145" s="1">
        <v>0</v>
      </c>
      <c r="J145" s="1">
        <v>13200</v>
      </c>
      <c r="K145" s="1">
        <v>9900</v>
      </c>
      <c r="L145" s="1">
        <v>3300</v>
      </c>
    </row>
    <row r="146" spans="1:12" x14ac:dyDescent="0.35">
      <c r="A146" s="3" t="s">
        <v>316</v>
      </c>
      <c r="B146" s="2">
        <v>45727</v>
      </c>
      <c r="C146" s="3" t="s">
        <v>317</v>
      </c>
      <c r="D146" s="3" t="s">
        <v>22</v>
      </c>
      <c r="E146" s="3" t="s">
        <v>13</v>
      </c>
      <c r="F146" s="3" t="s">
        <v>44</v>
      </c>
      <c r="G146" s="3">
        <v>1</v>
      </c>
      <c r="H146" s="3">
        <v>12500</v>
      </c>
      <c r="I146" s="3">
        <v>0.05</v>
      </c>
      <c r="J146" s="3">
        <v>11875</v>
      </c>
      <c r="K146" s="3">
        <v>8668.75</v>
      </c>
      <c r="L146" s="3">
        <v>3206.25</v>
      </c>
    </row>
    <row r="147" spans="1:12" x14ac:dyDescent="0.35">
      <c r="A147" s="1" t="s">
        <v>318</v>
      </c>
      <c r="B147" s="4">
        <v>45967</v>
      </c>
      <c r="C147" s="1" t="s">
        <v>319</v>
      </c>
      <c r="D147" s="1" t="s">
        <v>12</v>
      </c>
      <c r="E147" s="1" t="s">
        <v>27</v>
      </c>
      <c r="F147" s="1" t="s">
        <v>24</v>
      </c>
      <c r="G147" s="1">
        <v>9</v>
      </c>
      <c r="H147" s="1">
        <v>2200</v>
      </c>
      <c r="I147" s="1">
        <v>0.02</v>
      </c>
      <c r="J147" s="1">
        <v>19404</v>
      </c>
      <c r="K147" s="1">
        <v>13000.68</v>
      </c>
      <c r="L147" s="1">
        <v>6403.32</v>
      </c>
    </row>
    <row r="148" spans="1:12" x14ac:dyDescent="0.35">
      <c r="A148" s="3" t="s">
        <v>320</v>
      </c>
      <c r="B148" s="2">
        <v>45767</v>
      </c>
      <c r="C148" s="3" t="s">
        <v>321</v>
      </c>
      <c r="D148" s="3" t="s">
        <v>22</v>
      </c>
      <c r="E148" s="3" t="s">
        <v>23</v>
      </c>
      <c r="F148" s="3" t="s">
        <v>14</v>
      </c>
      <c r="G148" s="3">
        <v>7</v>
      </c>
      <c r="H148" s="3">
        <v>65000</v>
      </c>
      <c r="I148" s="3">
        <v>0.05</v>
      </c>
      <c r="J148" s="3">
        <v>432250</v>
      </c>
      <c r="K148" s="3">
        <v>272317.5</v>
      </c>
      <c r="L148" s="3">
        <v>159932.5</v>
      </c>
    </row>
    <row r="149" spans="1:12" x14ac:dyDescent="0.35">
      <c r="A149" s="1" t="s">
        <v>322</v>
      </c>
      <c r="B149" s="4">
        <v>45887</v>
      </c>
      <c r="C149" s="1" t="s">
        <v>323</v>
      </c>
      <c r="D149" s="1" t="s">
        <v>17</v>
      </c>
      <c r="E149" s="1" t="s">
        <v>18</v>
      </c>
      <c r="F149" s="1" t="s">
        <v>24</v>
      </c>
      <c r="G149" s="1">
        <v>3</v>
      </c>
      <c r="H149" s="1">
        <v>2200</v>
      </c>
      <c r="I149" s="1">
        <v>0.02</v>
      </c>
      <c r="J149" s="1">
        <v>6468</v>
      </c>
      <c r="K149" s="1">
        <v>5174.3999999999996</v>
      </c>
      <c r="L149" s="1">
        <v>1293.6000000000004</v>
      </c>
    </row>
    <row r="150" spans="1:12" x14ac:dyDescent="0.35">
      <c r="A150" s="3" t="s">
        <v>324</v>
      </c>
      <c r="B150" s="2">
        <v>46003</v>
      </c>
      <c r="C150" s="3" t="s">
        <v>325</v>
      </c>
      <c r="D150" s="3" t="s">
        <v>22</v>
      </c>
      <c r="E150" s="3" t="s">
        <v>27</v>
      </c>
      <c r="F150" s="3" t="s">
        <v>70</v>
      </c>
      <c r="G150" s="3">
        <v>2</v>
      </c>
      <c r="H150" s="3">
        <v>28000</v>
      </c>
      <c r="I150" s="3">
        <v>0.08</v>
      </c>
      <c r="J150" s="3">
        <v>51520</v>
      </c>
      <c r="K150" s="3">
        <v>34003.199999999997</v>
      </c>
      <c r="L150" s="3">
        <v>17516.800000000003</v>
      </c>
    </row>
    <row r="151" spans="1:12" x14ac:dyDescent="0.35">
      <c r="A151" s="1" t="s">
        <v>326</v>
      </c>
      <c r="B151" s="4">
        <v>45694</v>
      </c>
      <c r="C151" s="1" t="s">
        <v>327</v>
      </c>
      <c r="D151" s="1" t="s">
        <v>22</v>
      </c>
      <c r="E151" s="1" t="s">
        <v>23</v>
      </c>
      <c r="F151" s="1" t="s">
        <v>70</v>
      </c>
      <c r="G151" s="1">
        <v>3</v>
      </c>
      <c r="H151" s="1">
        <v>28000</v>
      </c>
      <c r="I151" s="1">
        <v>0.05</v>
      </c>
      <c r="J151" s="1">
        <v>79800</v>
      </c>
      <c r="K151" s="1">
        <v>47880</v>
      </c>
      <c r="L151" s="1">
        <v>31920</v>
      </c>
    </row>
    <row r="152" spans="1:12" x14ac:dyDescent="0.35">
      <c r="A152" s="3" t="s">
        <v>328</v>
      </c>
      <c r="B152" s="2">
        <v>45748</v>
      </c>
      <c r="C152" s="3" t="s">
        <v>329</v>
      </c>
      <c r="D152" s="3" t="s">
        <v>31</v>
      </c>
      <c r="E152" s="3" t="s">
        <v>18</v>
      </c>
      <c r="F152" s="3" t="s">
        <v>70</v>
      </c>
      <c r="G152" s="3">
        <v>7</v>
      </c>
      <c r="H152" s="3">
        <v>28000</v>
      </c>
      <c r="I152" s="3">
        <v>0</v>
      </c>
      <c r="J152" s="3">
        <v>196000</v>
      </c>
      <c r="K152" s="3">
        <v>119560</v>
      </c>
      <c r="L152" s="3">
        <v>76440</v>
      </c>
    </row>
    <row r="153" spans="1:12" x14ac:dyDescent="0.35">
      <c r="A153" s="1" t="s">
        <v>330</v>
      </c>
      <c r="B153" s="4">
        <v>45897</v>
      </c>
      <c r="C153" s="1" t="s">
        <v>331</v>
      </c>
      <c r="D153" s="1" t="s">
        <v>17</v>
      </c>
      <c r="E153" s="1" t="s">
        <v>18</v>
      </c>
      <c r="F153" s="1" t="s">
        <v>28</v>
      </c>
      <c r="G153" s="1">
        <v>1</v>
      </c>
      <c r="H153" s="1">
        <v>18000</v>
      </c>
      <c r="I153" s="1">
        <v>0.02</v>
      </c>
      <c r="J153" s="1">
        <v>17640</v>
      </c>
      <c r="K153" s="1">
        <v>13230</v>
      </c>
      <c r="L153" s="1">
        <v>4410</v>
      </c>
    </row>
    <row r="154" spans="1:12" x14ac:dyDescent="0.35">
      <c r="A154" s="3" t="s">
        <v>332</v>
      </c>
      <c r="B154" s="2">
        <v>45822</v>
      </c>
      <c r="C154" s="3" t="s">
        <v>333</v>
      </c>
      <c r="D154" s="3" t="s">
        <v>17</v>
      </c>
      <c r="E154" s="3" t="s">
        <v>23</v>
      </c>
      <c r="F154" s="3" t="s">
        <v>19</v>
      </c>
      <c r="G154" s="3">
        <v>6</v>
      </c>
      <c r="H154" s="3">
        <v>1800</v>
      </c>
      <c r="I154" s="3">
        <v>0.15</v>
      </c>
      <c r="J154" s="3">
        <v>9180</v>
      </c>
      <c r="K154" s="3">
        <v>5783.4</v>
      </c>
      <c r="L154" s="3">
        <v>3396.6000000000004</v>
      </c>
    </row>
    <row r="155" spans="1:12" x14ac:dyDescent="0.35">
      <c r="A155" s="1" t="s">
        <v>334</v>
      </c>
      <c r="B155" s="4">
        <v>45762</v>
      </c>
      <c r="C155" s="1" t="s">
        <v>335</v>
      </c>
      <c r="D155" s="1" t="s">
        <v>22</v>
      </c>
      <c r="E155" s="1" t="s">
        <v>13</v>
      </c>
      <c r="F155" s="1" t="s">
        <v>24</v>
      </c>
      <c r="G155" s="1">
        <v>2</v>
      </c>
      <c r="H155" s="1">
        <v>2200</v>
      </c>
      <c r="I155" s="1">
        <v>0.15</v>
      </c>
      <c r="J155" s="1">
        <v>3740</v>
      </c>
      <c r="K155" s="1">
        <v>2618</v>
      </c>
      <c r="L155" s="1">
        <v>1122</v>
      </c>
    </row>
    <row r="156" spans="1:12" x14ac:dyDescent="0.35">
      <c r="A156" s="3" t="s">
        <v>336</v>
      </c>
      <c r="B156" s="2">
        <v>45862</v>
      </c>
      <c r="C156" s="3" t="s">
        <v>337</v>
      </c>
      <c r="D156" s="3" t="s">
        <v>31</v>
      </c>
      <c r="E156" s="3" t="s">
        <v>13</v>
      </c>
      <c r="F156" s="3" t="s">
        <v>39</v>
      </c>
      <c r="G156" s="3">
        <v>2</v>
      </c>
      <c r="H156" s="3">
        <v>250</v>
      </c>
      <c r="I156" s="3">
        <v>0.15</v>
      </c>
      <c r="J156" s="3">
        <v>425</v>
      </c>
      <c r="K156" s="3">
        <v>323</v>
      </c>
      <c r="L156" s="3">
        <v>102</v>
      </c>
    </row>
    <row r="157" spans="1:12" x14ac:dyDescent="0.35">
      <c r="A157" s="1" t="s">
        <v>338</v>
      </c>
      <c r="B157" s="4">
        <v>45955</v>
      </c>
      <c r="C157" s="1" t="s">
        <v>339</v>
      </c>
      <c r="D157" s="1" t="s">
        <v>31</v>
      </c>
      <c r="E157" s="1" t="s">
        <v>23</v>
      </c>
      <c r="F157" s="1" t="s">
        <v>19</v>
      </c>
      <c r="G157" s="1">
        <v>8</v>
      </c>
      <c r="H157" s="1">
        <v>1800</v>
      </c>
      <c r="I157" s="1">
        <v>0.08</v>
      </c>
      <c r="J157" s="1">
        <v>13248</v>
      </c>
      <c r="K157" s="1">
        <v>10200.959999999999</v>
      </c>
      <c r="L157" s="1">
        <v>3047.0400000000009</v>
      </c>
    </row>
    <row r="158" spans="1:12" x14ac:dyDescent="0.35">
      <c r="A158" s="3" t="s">
        <v>340</v>
      </c>
      <c r="B158" s="2">
        <v>45853</v>
      </c>
      <c r="C158" s="3" t="s">
        <v>341</v>
      </c>
      <c r="D158" s="3" t="s">
        <v>12</v>
      </c>
      <c r="E158" s="3" t="s">
        <v>18</v>
      </c>
      <c r="F158" s="3" t="s">
        <v>14</v>
      </c>
      <c r="G158" s="3">
        <v>8</v>
      </c>
      <c r="H158" s="3">
        <v>65000</v>
      </c>
      <c r="I158" s="3">
        <v>0.08</v>
      </c>
      <c r="J158" s="3">
        <v>478400</v>
      </c>
      <c r="K158" s="3">
        <v>334880</v>
      </c>
      <c r="L158" s="3">
        <v>143520</v>
      </c>
    </row>
    <row r="159" spans="1:12" x14ac:dyDescent="0.35">
      <c r="A159" s="1" t="s">
        <v>342</v>
      </c>
      <c r="B159" s="4">
        <v>45893</v>
      </c>
      <c r="C159" s="1" t="s">
        <v>343</v>
      </c>
      <c r="D159" s="1" t="s">
        <v>22</v>
      </c>
      <c r="E159" s="1" t="s">
        <v>27</v>
      </c>
      <c r="F159" s="1" t="s">
        <v>32</v>
      </c>
      <c r="G159" s="1">
        <v>5</v>
      </c>
      <c r="H159" s="1">
        <v>15000</v>
      </c>
      <c r="I159" s="1">
        <v>0.05</v>
      </c>
      <c r="J159" s="1">
        <v>71250</v>
      </c>
      <c r="K159" s="1">
        <v>45600</v>
      </c>
      <c r="L159" s="1">
        <v>25650</v>
      </c>
    </row>
    <row r="160" spans="1:12" x14ac:dyDescent="0.35">
      <c r="A160" s="3" t="s">
        <v>344</v>
      </c>
      <c r="B160" s="2">
        <v>45718</v>
      </c>
      <c r="C160" s="3" t="s">
        <v>345</v>
      </c>
      <c r="D160" s="3" t="s">
        <v>31</v>
      </c>
      <c r="E160" s="3" t="s">
        <v>23</v>
      </c>
      <c r="F160" s="3" t="s">
        <v>24</v>
      </c>
      <c r="G160" s="3">
        <v>2</v>
      </c>
      <c r="H160" s="3">
        <v>2200</v>
      </c>
      <c r="I160" s="3">
        <v>0.15</v>
      </c>
      <c r="J160" s="3">
        <v>3740</v>
      </c>
      <c r="K160" s="3">
        <v>2954.6</v>
      </c>
      <c r="L160" s="3">
        <v>785.40000000000009</v>
      </c>
    </row>
    <row r="161" spans="1:12" x14ac:dyDescent="0.35">
      <c r="A161" s="1" t="s">
        <v>346</v>
      </c>
      <c r="B161" s="4">
        <v>45835</v>
      </c>
      <c r="C161" s="1" t="s">
        <v>347</v>
      </c>
      <c r="D161" s="1" t="s">
        <v>12</v>
      </c>
      <c r="E161" s="1" t="s">
        <v>13</v>
      </c>
      <c r="F161" s="1" t="s">
        <v>70</v>
      </c>
      <c r="G161" s="1">
        <v>1</v>
      </c>
      <c r="H161" s="1">
        <v>28000</v>
      </c>
      <c r="I161" s="1">
        <v>0.15</v>
      </c>
      <c r="J161" s="1">
        <v>23800</v>
      </c>
      <c r="K161" s="1">
        <v>19040</v>
      </c>
      <c r="L161" s="1">
        <v>4760</v>
      </c>
    </row>
    <row r="162" spans="1:12" x14ac:dyDescent="0.35">
      <c r="A162" s="3" t="s">
        <v>348</v>
      </c>
      <c r="B162" s="2">
        <v>45741</v>
      </c>
      <c r="C162" s="3" t="s">
        <v>349</v>
      </c>
      <c r="D162" s="3" t="s">
        <v>17</v>
      </c>
      <c r="E162" s="3" t="s">
        <v>13</v>
      </c>
      <c r="F162" s="3" t="s">
        <v>70</v>
      </c>
      <c r="G162" s="3">
        <v>3</v>
      </c>
      <c r="H162" s="3">
        <v>28000</v>
      </c>
      <c r="I162" s="3">
        <v>0.02</v>
      </c>
      <c r="J162" s="3">
        <v>82320</v>
      </c>
      <c r="K162" s="3">
        <v>63386.400000000001</v>
      </c>
      <c r="L162" s="3">
        <v>18933.599999999999</v>
      </c>
    </row>
    <row r="163" spans="1:12" x14ac:dyDescent="0.35">
      <c r="A163" s="1" t="s">
        <v>350</v>
      </c>
      <c r="B163" s="4">
        <v>45794</v>
      </c>
      <c r="C163" s="1" t="s">
        <v>351</v>
      </c>
      <c r="D163" s="1" t="s">
        <v>22</v>
      </c>
      <c r="E163" s="1" t="s">
        <v>23</v>
      </c>
      <c r="F163" s="1" t="s">
        <v>51</v>
      </c>
      <c r="G163" s="1">
        <v>1</v>
      </c>
      <c r="H163" s="1">
        <v>4500</v>
      </c>
      <c r="I163" s="1">
        <v>0</v>
      </c>
      <c r="J163" s="1">
        <v>4500</v>
      </c>
      <c r="K163" s="1">
        <v>3015</v>
      </c>
      <c r="L163" s="1">
        <v>1485</v>
      </c>
    </row>
    <row r="164" spans="1:12" x14ac:dyDescent="0.35">
      <c r="A164" s="3" t="s">
        <v>352</v>
      </c>
      <c r="B164" s="2">
        <v>45855</v>
      </c>
      <c r="C164" s="3" t="s">
        <v>353</v>
      </c>
      <c r="D164" s="3" t="s">
        <v>31</v>
      </c>
      <c r="E164" s="3" t="s">
        <v>23</v>
      </c>
      <c r="F164" s="3" t="s">
        <v>24</v>
      </c>
      <c r="G164" s="3">
        <v>7</v>
      </c>
      <c r="H164" s="3">
        <v>2200</v>
      </c>
      <c r="I164" s="3">
        <v>0.05</v>
      </c>
      <c r="J164" s="3">
        <v>14630</v>
      </c>
      <c r="K164" s="3">
        <v>11118.8</v>
      </c>
      <c r="L164" s="3">
        <v>3511.2000000000007</v>
      </c>
    </row>
    <row r="165" spans="1:12" x14ac:dyDescent="0.35">
      <c r="A165" s="1" t="s">
        <v>354</v>
      </c>
      <c r="B165" s="4">
        <v>45768</v>
      </c>
      <c r="C165" s="1" t="s">
        <v>355</v>
      </c>
      <c r="D165" s="1" t="s">
        <v>22</v>
      </c>
      <c r="E165" s="1" t="s">
        <v>27</v>
      </c>
      <c r="F165" s="1" t="s">
        <v>24</v>
      </c>
      <c r="G165" s="1">
        <v>5</v>
      </c>
      <c r="H165" s="1">
        <v>2200</v>
      </c>
      <c r="I165" s="1">
        <v>0.1</v>
      </c>
      <c r="J165" s="1">
        <v>9900</v>
      </c>
      <c r="K165" s="1">
        <v>6831</v>
      </c>
      <c r="L165" s="1">
        <v>3069</v>
      </c>
    </row>
    <row r="166" spans="1:12" x14ac:dyDescent="0.35">
      <c r="A166" s="3" t="s">
        <v>356</v>
      </c>
      <c r="B166" s="2">
        <v>45704</v>
      </c>
      <c r="C166" s="3" t="s">
        <v>357</v>
      </c>
      <c r="D166" s="3" t="s">
        <v>31</v>
      </c>
      <c r="E166" s="3" t="s">
        <v>18</v>
      </c>
      <c r="F166" s="3" t="s">
        <v>51</v>
      </c>
      <c r="G166" s="3">
        <v>3</v>
      </c>
      <c r="H166" s="3">
        <v>4500</v>
      </c>
      <c r="I166" s="3">
        <v>0.08</v>
      </c>
      <c r="J166" s="3">
        <v>12420</v>
      </c>
      <c r="K166" s="3">
        <v>8197.2000000000007</v>
      </c>
      <c r="L166" s="3">
        <v>4222.7999999999993</v>
      </c>
    </row>
    <row r="167" spans="1:12" x14ac:dyDescent="0.35">
      <c r="A167" s="1" t="s">
        <v>358</v>
      </c>
      <c r="B167" s="4">
        <v>45816</v>
      </c>
      <c r="C167" s="1" t="s">
        <v>359</v>
      </c>
      <c r="D167" s="1" t="s">
        <v>22</v>
      </c>
      <c r="E167" s="1" t="s">
        <v>23</v>
      </c>
      <c r="F167" s="1" t="s">
        <v>19</v>
      </c>
      <c r="G167" s="1">
        <v>7</v>
      </c>
      <c r="H167" s="1">
        <v>1800</v>
      </c>
      <c r="I167" s="1">
        <v>0.1</v>
      </c>
      <c r="J167" s="1">
        <v>11340</v>
      </c>
      <c r="K167" s="1">
        <v>8618.4</v>
      </c>
      <c r="L167" s="1">
        <v>2721.6000000000004</v>
      </c>
    </row>
    <row r="168" spans="1:12" x14ac:dyDescent="0.35">
      <c r="A168" s="3" t="s">
        <v>360</v>
      </c>
      <c r="B168" s="2">
        <v>45669</v>
      </c>
      <c r="C168" s="3" t="s">
        <v>361</v>
      </c>
      <c r="D168" s="3" t="s">
        <v>22</v>
      </c>
      <c r="E168" s="3" t="s">
        <v>13</v>
      </c>
      <c r="F168" s="3" t="s">
        <v>39</v>
      </c>
      <c r="G168" s="3">
        <v>4</v>
      </c>
      <c r="H168" s="3">
        <v>250</v>
      </c>
      <c r="I168" s="3">
        <v>0.15</v>
      </c>
      <c r="J168" s="3">
        <v>850</v>
      </c>
      <c r="K168" s="3">
        <v>561</v>
      </c>
      <c r="L168" s="3">
        <v>289</v>
      </c>
    </row>
    <row r="169" spans="1:12" x14ac:dyDescent="0.35">
      <c r="A169" s="1" t="s">
        <v>362</v>
      </c>
      <c r="B169" s="4">
        <v>45922</v>
      </c>
      <c r="C169" s="1" t="s">
        <v>363</v>
      </c>
      <c r="D169" s="1" t="s">
        <v>31</v>
      </c>
      <c r="E169" s="1" t="s">
        <v>13</v>
      </c>
      <c r="F169" s="1" t="s">
        <v>19</v>
      </c>
      <c r="G169" s="1">
        <v>4</v>
      </c>
      <c r="H169" s="1">
        <v>1800</v>
      </c>
      <c r="I169" s="1">
        <v>0.05</v>
      </c>
      <c r="J169" s="1">
        <v>6840</v>
      </c>
      <c r="K169" s="1">
        <v>5335.2</v>
      </c>
      <c r="L169" s="1">
        <v>1504.8000000000002</v>
      </c>
    </row>
    <row r="170" spans="1:12" x14ac:dyDescent="0.35">
      <c r="A170" s="3" t="s">
        <v>364</v>
      </c>
      <c r="B170" s="2">
        <v>45827</v>
      </c>
      <c r="C170" s="3" t="s">
        <v>365</v>
      </c>
      <c r="D170" s="3" t="s">
        <v>22</v>
      </c>
      <c r="E170" s="3" t="s">
        <v>13</v>
      </c>
      <c r="F170" s="3" t="s">
        <v>32</v>
      </c>
      <c r="G170" s="3">
        <v>2</v>
      </c>
      <c r="H170" s="3">
        <v>15000</v>
      </c>
      <c r="I170" s="3">
        <v>0.1</v>
      </c>
      <c r="J170" s="3">
        <v>27000</v>
      </c>
      <c r="K170" s="3">
        <v>19710</v>
      </c>
      <c r="L170" s="3">
        <v>7290</v>
      </c>
    </row>
    <row r="171" spans="1:12" x14ac:dyDescent="0.35">
      <c r="A171" s="1" t="s">
        <v>366</v>
      </c>
      <c r="B171" s="4">
        <v>45768</v>
      </c>
      <c r="C171" s="1" t="s">
        <v>367</v>
      </c>
      <c r="D171" s="1" t="s">
        <v>17</v>
      </c>
      <c r="E171" s="1" t="s">
        <v>13</v>
      </c>
      <c r="F171" s="1" t="s">
        <v>81</v>
      </c>
      <c r="G171" s="1">
        <v>6</v>
      </c>
      <c r="H171" s="1">
        <v>9500</v>
      </c>
      <c r="I171" s="1">
        <v>0.08</v>
      </c>
      <c r="J171" s="1">
        <v>52440</v>
      </c>
      <c r="K171" s="1">
        <v>31988.400000000001</v>
      </c>
      <c r="L171" s="1">
        <v>20451.599999999999</v>
      </c>
    </row>
    <row r="172" spans="1:12" x14ac:dyDescent="0.35">
      <c r="A172" s="3" t="s">
        <v>368</v>
      </c>
      <c r="B172" s="2">
        <v>45946</v>
      </c>
      <c r="C172" s="3" t="s">
        <v>369</v>
      </c>
      <c r="D172" s="3" t="s">
        <v>31</v>
      </c>
      <c r="E172" s="3" t="s">
        <v>27</v>
      </c>
      <c r="F172" s="3" t="s">
        <v>70</v>
      </c>
      <c r="G172" s="3">
        <v>10</v>
      </c>
      <c r="H172" s="3">
        <v>28000</v>
      </c>
      <c r="I172" s="3">
        <v>0.05</v>
      </c>
      <c r="J172" s="3">
        <v>266000</v>
      </c>
      <c r="K172" s="3">
        <v>196840</v>
      </c>
      <c r="L172" s="3">
        <v>69160</v>
      </c>
    </row>
    <row r="173" spans="1:12" x14ac:dyDescent="0.35">
      <c r="A173" s="1" t="s">
        <v>370</v>
      </c>
      <c r="B173" s="4">
        <v>45883</v>
      </c>
      <c r="C173" s="1" t="s">
        <v>371</v>
      </c>
      <c r="D173" s="1" t="s">
        <v>22</v>
      </c>
      <c r="E173" s="1" t="s">
        <v>27</v>
      </c>
      <c r="F173" s="1" t="s">
        <v>81</v>
      </c>
      <c r="G173" s="1">
        <v>4</v>
      </c>
      <c r="H173" s="1">
        <v>9500</v>
      </c>
      <c r="I173" s="1">
        <v>0</v>
      </c>
      <c r="J173" s="1">
        <v>38000</v>
      </c>
      <c r="K173" s="1">
        <v>28120</v>
      </c>
      <c r="L173" s="1">
        <v>9880</v>
      </c>
    </row>
    <row r="174" spans="1:12" x14ac:dyDescent="0.35">
      <c r="A174" s="3" t="s">
        <v>372</v>
      </c>
      <c r="B174" s="2">
        <v>45943</v>
      </c>
      <c r="C174" s="3" t="s">
        <v>373</v>
      </c>
      <c r="D174" s="3" t="s">
        <v>12</v>
      </c>
      <c r="E174" s="3" t="s">
        <v>27</v>
      </c>
      <c r="F174" s="3" t="s">
        <v>19</v>
      </c>
      <c r="G174" s="3">
        <v>6</v>
      </c>
      <c r="H174" s="3">
        <v>1800</v>
      </c>
      <c r="I174" s="3">
        <v>0.02</v>
      </c>
      <c r="J174" s="3">
        <v>10584</v>
      </c>
      <c r="K174" s="3">
        <v>7091.28</v>
      </c>
      <c r="L174" s="3">
        <v>3492.7200000000003</v>
      </c>
    </row>
    <row r="175" spans="1:12" x14ac:dyDescent="0.35">
      <c r="A175" s="1" t="s">
        <v>374</v>
      </c>
      <c r="B175" s="4">
        <v>46016</v>
      </c>
      <c r="C175" s="1" t="s">
        <v>375</v>
      </c>
      <c r="D175" s="1" t="s">
        <v>12</v>
      </c>
      <c r="E175" s="1" t="s">
        <v>18</v>
      </c>
      <c r="F175" s="1" t="s">
        <v>81</v>
      </c>
      <c r="G175" s="1">
        <v>7</v>
      </c>
      <c r="H175" s="1">
        <v>9500</v>
      </c>
      <c r="I175" s="1">
        <v>0.08</v>
      </c>
      <c r="J175" s="1">
        <v>61180</v>
      </c>
      <c r="K175" s="1">
        <v>45885</v>
      </c>
      <c r="L175" s="1">
        <v>15295</v>
      </c>
    </row>
    <row r="176" spans="1:12" x14ac:dyDescent="0.35">
      <c r="A176" s="3" t="s">
        <v>376</v>
      </c>
      <c r="B176" s="2">
        <v>45795</v>
      </c>
      <c r="C176" s="3" t="s">
        <v>377</v>
      </c>
      <c r="D176" s="3" t="s">
        <v>17</v>
      </c>
      <c r="E176" s="3" t="s">
        <v>13</v>
      </c>
      <c r="F176" s="3" t="s">
        <v>19</v>
      </c>
      <c r="G176" s="3">
        <v>5</v>
      </c>
      <c r="H176" s="3">
        <v>1800</v>
      </c>
      <c r="I176" s="3">
        <v>0</v>
      </c>
      <c r="J176" s="3">
        <v>9000</v>
      </c>
      <c r="K176" s="3">
        <v>5940</v>
      </c>
      <c r="L176" s="3">
        <v>3060</v>
      </c>
    </row>
    <row r="177" spans="1:12" x14ac:dyDescent="0.35">
      <c r="A177" s="1" t="s">
        <v>378</v>
      </c>
      <c r="B177" s="4">
        <v>45831</v>
      </c>
      <c r="C177" s="1" t="s">
        <v>379</v>
      </c>
      <c r="D177" s="1" t="s">
        <v>31</v>
      </c>
      <c r="E177" s="1" t="s">
        <v>27</v>
      </c>
      <c r="F177" s="1" t="s">
        <v>44</v>
      </c>
      <c r="G177" s="1">
        <v>8</v>
      </c>
      <c r="H177" s="1">
        <v>12500</v>
      </c>
      <c r="I177" s="1">
        <v>0.1</v>
      </c>
      <c r="J177" s="1">
        <v>90000</v>
      </c>
      <c r="K177" s="1">
        <v>63000</v>
      </c>
      <c r="L177" s="1">
        <v>27000</v>
      </c>
    </row>
    <row r="178" spans="1:12" x14ac:dyDescent="0.35">
      <c r="A178" s="3" t="s">
        <v>380</v>
      </c>
      <c r="B178" s="2">
        <v>45943</v>
      </c>
      <c r="C178" s="3" t="s">
        <v>381</v>
      </c>
      <c r="D178" s="3" t="s">
        <v>31</v>
      </c>
      <c r="E178" s="3" t="s">
        <v>27</v>
      </c>
      <c r="F178" s="3" t="s">
        <v>19</v>
      </c>
      <c r="G178" s="3">
        <v>6</v>
      </c>
      <c r="H178" s="3">
        <v>1800</v>
      </c>
      <c r="I178" s="3">
        <v>0.08</v>
      </c>
      <c r="J178" s="3">
        <v>9936</v>
      </c>
      <c r="K178" s="3">
        <v>7551.36</v>
      </c>
      <c r="L178" s="3">
        <v>2384.6400000000003</v>
      </c>
    </row>
    <row r="179" spans="1:12" x14ac:dyDescent="0.35">
      <c r="A179" s="1" t="s">
        <v>382</v>
      </c>
      <c r="B179" s="4">
        <v>45851</v>
      </c>
      <c r="C179" s="1" t="s">
        <v>383</v>
      </c>
      <c r="D179" s="1" t="s">
        <v>17</v>
      </c>
      <c r="E179" s="1" t="s">
        <v>18</v>
      </c>
      <c r="F179" s="1" t="s">
        <v>39</v>
      </c>
      <c r="G179" s="1">
        <v>8</v>
      </c>
      <c r="H179" s="1">
        <v>250</v>
      </c>
      <c r="I179" s="1">
        <v>0</v>
      </c>
      <c r="J179" s="1">
        <v>2000</v>
      </c>
      <c r="K179" s="1">
        <v>1440</v>
      </c>
      <c r="L179" s="1">
        <v>560</v>
      </c>
    </row>
    <row r="180" spans="1:12" x14ac:dyDescent="0.35">
      <c r="A180" s="3" t="s">
        <v>384</v>
      </c>
      <c r="B180" s="2">
        <v>45707</v>
      </c>
      <c r="C180" s="3" t="s">
        <v>385</v>
      </c>
      <c r="D180" s="3" t="s">
        <v>12</v>
      </c>
      <c r="E180" s="3" t="s">
        <v>18</v>
      </c>
      <c r="F180" s="3" t="s">
        <v>14</v>
      </c>
      <c r="G180" s="3">
        <v>10</v>
      </c>
      <c r="H180" s="3">
        <v>65000</v>
      </c>
      <c r="I180" s="3">
        <v>0.02</v>
      </c>
      <c r="J180" s="3">
        <v>637000</v>
      </c>
      <c r="K180" s="3">
        <v>407680</v>
      </c>
      <c r="L180" s="3">
        <v>229320</v>
      </c>
    </row>
    <row r="181" spans="1:12" x14ac:dyDescent="0.35">
      <c r="A181" s="1" t="s">
        <v>386</v>
      </c>
      <c r="B181" s="4">
        <v>45888</v>
      </c>
      <c r="C181" s="1" t="s">
        <v>387</v>
      </c>
      <c r="D181" s="1" t="s">
        <v>22</v>
      </c>
      <c r="E181" s="1" t="s">
        <v>18</v>
      </c>
      <c r="F181" s="1" t="s">
        <v>14</v>
      </c>
      <c r="G181" s="1">
        <v>6</v>
      </c>
      <c r="H181" s="1">
        <v>65000</v>
      </c>
      <c r="I181" s="1">
        <v>0</v>
      </c>
      <c r="J181" s="1">
        <v>390000</v>
      </c>
      <c r="K181" s="1">
        <v>312000</v>
      </c>
      <c r="L181" s="1">
        <v>78000</v>
      </c>
    </row>
    <row r="182" spans="1:12" x14ac:dyDescent="0.35">
      <c r="A182" s="3" t="s">
        <v>388</v>
      </c>
      <c r="B182" s="2">
        <v>45733</v>
      </c>
      <c r="C182" s="3" t="s">
        <v>389</v>
      </c>
      <c r="D182" s="3" t="s">
        <v>22</v>
      </c>
      <c r="E182" s="3" t="s">
        <v>18</v>
      </c>
      <c r="F182" s="3" t="s">
        <v>14</v>
      </c>
      <c r="G182" s="3">
        <v>7</v>
      </c>
      <c r="H182" s="3">
        <v>65000</v>
      </c>
      <c r="I182" s="3">
        <v>0.08</v>
      </c>
      <c r="J182" s="3">
        <v>418600</v>
      </c>
      <c r="K182" s="3">
        <v>251160</v>
      </c>
      <c r="L182" s="3">
        <v>167440</v>
      </c>
    </row>
    <row r="183" spans="1:12" x14ac:dyDescent="0.35">
      <c r="A183" s="1" t="s">
        <v>390</v>
      </c>
      <c r="B183" s="4">
        <v>45958</v>
      </c>
      <c r="C183" s="1" t="s">
        <v>391</v>
      </c>
      <c r="D183" s="1" t="s">
        <v>12</v>
      </c>
      <c r="E183" s="1" t="s">
        <v>23</v>
      </c>
      <c r="F183" s="1" t="s">
        <v>32</v>
      </c>
      <c r="G183" s="1">
        <v>9</v>
      </c>
      <c r="H183" s="1">
        <v>15000</v>
      </c>
      <c r="I183" s="1">
        <v>0.08</v>
      </c>
      <c r="J183" s="1">
        <v>124200</v>
      </c>
      <c r="K183" s="1">
        <v>75762</v>
      </c>
      <c r="L183" s="1">
        <v>48438</v>
      </c>
    </row>
    <row r="184" spans="1:12" x14ac:dyDescent="0.35">
      <c r="A184" s="3" t="s">
        <v>392</v>
      </c>
      <c r="B184" s="2">
        <v>45891</v>
      </c>
      <c r="C184" s="3" t="s">
        <v>393</v>
      </c>
      <c r="D184" s="3" t="s">
        <v>12</v>
      </c>
      <c r="E184" s="3" t="s">
        <v>23</v>
      </c>
      <c r="F184" s="3" t="s">
        <v>39</v>
      </c>
      <c r="G184" s="3">
        <v>2</v>
      </c>
      <c r="H184" s="3">
        <v>250</v>
      </c>
      <c r="I184" s="3">
        <v>0.02</v>
      </c>
      <c r="J184" s="3">
        <v>490</v>
      </c>
      <c r="K184" s="3">
        <v>377.3</v>
      </c>
      <c r="L184" s="3">
        <v>112.69999999999999</v>
      </c>
    </row>
    <row r="185" spans="1:12" x14ac:dyDescent="0.35">
      <c r="A185" s="1" t="s">
        <v>394</v>
      </c>
      <c r="B185" s="4">
        <v>45828</v>
      </c>
      <c r="C185" s="1" t="s">
        <v>395</v>
      </c>
      <c r="D185" s="1" t="s">
        <v>22</v>
      </c>
      <c r="E185" s="1" t="s">
        <v>27</v>
      </c>
      <c r="F185" s="1" t="s">
        <v>32</v>
      </c>
      <c r="G185" s="1">
        <v>1</v>
      </c>
      <c r="H185" s="1">
        <v>15000</v>
      </c>
      <c r="I185" s="1">
        <v>0.02</v>
      </c>
      <c r="J185" s="1">
        <v>14700</v>
      </c>
      <c r="K185" s="1">
        <v>10731</v>
      </c>
      <c r="L185" s="1">
        <v>3969</v>
      </c>
    </row>
    <row r="186" spans="1:12" x14ac:dyDescent="0.35">
      <c r="A186" s="3" t="s">
        <v>396</v>
      </c>
      <c r="B186" s="2">
        <v>45892</v>
      </c>
      <c r="C186" s="3" t="s">
        <v>397</v>
      </c>
      <c r="D186" s="3" t="s">
        <v>31</v>
      </c>
      <c r="E186" s="3" t="s">
        <v>13</v>
      </c>
      <c r="F186" s="3" t="s">
        <v>24</v>
      </c>
      <c r="G186" s="3">
        <v>8</v>
      </c>
      <c r="H186" s="3">
        <v>2200</v>
      </c>
      <c r="I186" s="3">
        <v>0.05</v>
      </c>
      <c r="J186" s="3">
        <v>16720</v>
      </c>
      <c r="K186" s="3">
        <v>11035.2</v>
      </c>
      <c r="L186" s="3">
        <v>5684.7999999999993</v>
      </c>
    </row>
    <row r="187" spans="1:12" x14ac:dyDescent="0.35">
      <c r="A187" s="1" t="s">
        <v>398</v>
      </c>
      <c r="B187" s="4">
        <v>45981</v>
      </c>
      <c r="C187" s="1" t="s">
        <v>399</v>
      </c>
      <c r="D187" s="1" t="s">
        <v>17</v>
      </c>
      <c r="E187" s="1" t="s">
        <v>13</v>
      </c>
      <c r="F187" s="1" t="s">
        <v>28</v>
      </c>
      <c r="G187" s="1">
        <v>9</v>
      </c>
      <c r="H187" s="1">
        <v>18000</v>
      </c>
      <c r="I187" s="1">
        <v>0.15</v>
      </c>
      <c r="J187" s="1">
        <v>137700</v>
      </c>
      <c r="K187" s="1">
        <v>110160</v>
      </c>
      <c r="L187" s="1">
        <v>27540</v>
      </c>
    </row>
    <row r="188" spans="1:12" x14ac:dyDescent="0.35">
      <c r="A188" s="3" t="s">
        <v>400</v>
      </c>
      <c r="B188" s="2">
        <v>45986</v>
      </c>
      <c r="C188" s="3" t="s">
        <v>401</v>
      </c>
      <c r="D188" s="3" t="s">
        <v>22</v>
      </c>
      <c r="E188" s="3" t="s">
        <v>23</v>
      </c>
      <c r="F188" s="3" t="s">
        <v>70</v>
      </c>
      <c r="G188" s="3">
        <v>8</v>
      </c>
      <c r="H188" s="3">
        <v>28000</v>
      </c>
      <c r="I188" s="3">
        <v>0.15</v>
      </c>
      <c r="J188" s="3">
        <v>190400</v>
      </c>
      <c r="K188" s="3">
        <v>138992</v>
      </c>
      <c r="L188" s="3">
        <v>51408</v>
      </c>
    </row>
    <row r="189" spans="1:12" x14ac:dyDescent="0.35">
      <c r="A189" s="1" t="s">
        <v>402</v>
      </c>
      <c r="B189" s="4">
        <v>45912</v>
      </c>
      <c r="C189" s="1" t="s">
        <v>403</v>
      </c>
      <c r="D189" s="1" t="s">
        <v>12</v>
      </c>
      <c r="E189" s="1" t="s">
        <v>18</v>
      </c>
      <c r="F189" s="1" t="s">
        <v>70</v>
      </c>
      <c r="G189" s="1">
        <v>6</v>
      </c>
      <c r="H189" s="1">
        <v>28000</v>
      </c>
      <c r="I189" s="1">
        <v>0</v>
      </c>
      <c r="J189" s="1">
        <v>168000</v>
      </c>
      <c r="K189" s="1">
        <v>119280</v>
      </c>
      <c r="L189" s="1">
        <v>48720</v>
      </c>
    </row>
    <row r="190" spans="1:12" x14ac:dyDescent="0.35">
      <c r="A190" s="3" t="s">
        <v>404</v>
      </c>
      <c r="B190" s="2">
        <v>45875</v>
      </c>
      <c r="C190" s="3" t="s">
        <v>405</v>
      </c>
      <c r="D190" s="3" t="s">
        <v>17</v>
      </c>
      <c r="E190" s="3" t="s">
        <v>13</v>
      </c>
      <c r="F190" s="3" t="s">
        <v>39</v>
      </c>
      <c r="G190" s="3">
        <v>7</v>
      </c>
      <c r="H190" s="3">
        <v>250</v>
      </c>
      <c r="I190" s="3">
        <v>0</v>
      </c>
      <c r="J190" s="3">
        <v>1750</v>
      </c>
      <c r="K190" s="3">
        <v>1295</v>
      </c>
      <c r="L190" s="3">
        <v>455</v>
      </c>
    </row>
    <row r="191" spans="1:12" x14ac:dyDescent="0.35">
      <c r="A191" s="1" t="s">
        <v>406</v>
      </c>
      <c r="B191" s="4">
        <v>45861</v>
      </c>
      <c r="C191" s="1" t="s">
        <v>407</v>
      </c>
      <c r="D191" s="1" t="s">
        <v>17</v>
      </c>
      <c r="E191" s="1" t="s">
        <v>13</v>
      </c>
      <c r="F191" s="1" t="s">
        <v>44</v>
      </c>
      <c r="G191" s="1">
        <v>5</v>
      </c>
      <c r="H191" s="1">
        <v>12500</v>
      </c>
      <c r="I191" s="1">
        <v>0</v>
      </c>
      <c r="J191" s="1">
        <v>62500</v>
      </c>
      <c r="K191" s="1">
        <v>49375</v>
      </c>
      <c r="L191" s="1">
        <v>13125</v>
      </c>
    </row>
    <row r="192" spans="1:12" x14ac:dyDescent="0.35">
      <c r="A192" s="3" t="s">
        <v>408</v>
      </c>
      <c r="B192" s="2">
        <v>45914</v>
      </c>
      <c r="C192" s="3" t="s">
        <v>409</v>
      </c>
      <c r="D192" s="3" t="s">
        <v>31</v>
      </c>
      <c r="E192" s="3" t="s">
        <v>13</v>
      </c>
      <c r="F192" s="3" t="s">
        <v>19</v>
      </c>
      <c r="G192" s="3">
        <v>4</v>
      </c>
      <c r="H192" s="3">
        <v>1800</v>
      </c>
      <c r="I192" s="3">
        <v>0</v>
      </c>
      <c r="J192" s="3">
        <v>7200</v>
      </c>
      <c r="K192" s="3">
        <v>4536</v>
      </c>
      <c r="L192" s="3">
        <v>2664</v>
      </c>
    </row>
    <row r="193" spans="1:12" x14ac:dyDescent="0.35">
      <c r="A193" s="1" t="s">
        <v>410</v>
      </c>
      <c r="B193" s="4">
        <v>45976</v>
      </c>
      <c r="C193" s="1" t="s">
        <v>411</v>
      </c>
      <c r="D193" s="1" t="s">
        <v>22</v>
      </c>
      <c r="E193" s="1" t="s">
        <v>18</v>
      </c>
      <c r="F193" s="1" t="s">
        <v>19</v>
      </c>
      <c r="G193" s="1">
        <v>8</v>
      </c>
      <c r="H193" s="1">
        <v>1800</v>
      </c>
      <c r="I193" s="1">
        <v>0.02</v>
      </c>
      <c r="J193" s="1">
        <v>14112</v>
      </c>
      <c r="K193" s="1">
        <v>10160.64</v>
      </c>
      <c r="L193" s="1">
        <v>3951.3600000000006</v>
      </c>
    </row>
    <row r="194" spans="1:12" x14ac:dyDescent="0.35">
      <c r="A194" s="3" t="s">
        <v>412</v>
      </c>
      <c r="B194" s="2">
        <v>45803</v>
      </c>
      <c r="C194" s="3" t="s">
        <v>413</v>
      </c>
      <c r="D194" s="3" t="s">
        <v>31</v>
      </c>
      <c r="E194" s="3" t="s">
        <v>13</v>
      </c>
      <c r="F194" s="3" t="s">
        <v>14</v>
      </c>
      <c r="G194" s="3">
        <v>5</v>
      </c>
      <c r="H194" s="3">
        <v>65000</v>
      </c>
      <c r="I194" s="3">
        <v>0.1</v>
      </c>
      <c r="J194" s="3">
        <v>292500</v>
      </c>
      <c r="K194" s="3">
        <v>178425</v>
      </c>
      <c r="L194" s="3">
        <v>114075</v>
      </c>
    </row>
    <row r="195" spans="1:12" x14ac:dyDescent="0.35">
      <c r="A195" s="1" t="s">
        <v>414</v>
      </c>
      <c r="B195" s="4">
        <v>45850</v>
      </c>
      <c r="C195" s="1" t="s">
        <v>415</v>
      </c>
      <c r="D195" s="1" t="s">
        <v>31</v>
      </c>
      <c r="E195" s="1" t="s">
        <v>13</v>
      </c>
      <c r="F195" s="1" t="s">
        <v>51</v>
      </c>
      <c r="G195" s="1">
        <v>9</v>
      </c>
      <c r="H195" s="1">
        <v>4500</v>
      </c>
      <c r="I195" s="1">
        <v>0.1</v>
      </c>
      <c r="J195" s="1">
        <v>36450</v>
      </c>
      <c r="K195" s="1">
        <v>27337.5</v>
      </c>
      <c r="L195" s="1">
        <v>9112.5</v>
      </c>
    </row>
    <row r="196" spans="1:12" x14ac:dyDescent="0.35">
      <c r="A196" s="3" t="s">
        <v>416</v>
      </c>
      <c r="B196" s="2">
        <v>45735</v>
      </c>
      <c r="C196" s="3" t="s">
        <v>417</v>
      </c>
      <c r="D196" s="3" t="s">
        <v>31</v>
      </c>
      <c r="E196" s="3" t="s">
        <v>23</v>
      </c>
      <c r="F196" s="3" t="s">
        <v>81</v>
      </c>
      <c r="G196" s="3">
        <v>4</v>
      </c>
      <c r="H196" s="3">
        <v>9500</v>
      </c>
      <c r="I196" s="3">
        <v>0.02</v>
      </c>
      <c r="J196" s="3">
        <v>37240</v>
      </c>
      <c r="K196" s="3">
        <v>22716.400000000001</v>
      </c>
      <c r="L196" s="3">
        <v>14523.599999999999</v>
      </c>
    </row>
    <row r="197" spans="1:12" x14ac:dyDescent="0.35">
      <c r="A197" s="1" t="s">
        <v>418</v>
      </c>
      <c r="B197" s="4">
        <v>45828</v>
      </c>
      <c r="C197" s="1" t="s">
        <v>419</v>
      </c>
      <c r="D197" s="1" t="s">
        <v>31</v>
      </c>
      <c r="E197" s="1" t="s">
        <v>13</v>
      </c>
      <c r="F197" s="1" t="s">
        <v>14</v>
      </c>
      <c r="G197" s="1">
        <v>3</v>
      </c>
      <c r="H197" s="1">
        <v>65000</v>
      </c>
      <c r="I197" s="1">
        <v>0.1</v>
      </c>
      <c r="J197" s="1">
        <v>175500</v>
      </c>
      <c r="K197" s="1">
        <v>110565</v>
      </c>
      <c r="L197" s="1">
        <v>64935</v>
      </c>
    </row>
    <row r="198" spans="1:12" x14ac:dyDescent="0.35">
      <c r="A198" s="3" t="s">
        <v>420</v>
      </c>
      <c r="B198" s="2">
        <v>45995</v>
      </c>
      <c r="C198" s="3" t="s">
        <v>421</v>
      </c>
      <c r="D198" s="3" t="s">
        <v>22</v>
      </c>
      <c r="E198" s="3" t="s">
        <v>27</v>
      </c>
      <c r="F198" s="3" t="s">
        <v>24</v>
      </c>
      <c r="G198" s="3">
        <v>3</v>
      </c>
      <c r="H198" s="3">
        <v>2200</v>
      </c>
      <c r="I198" s="3">
        <v>0.15</v>
      </c>
      <c r="J198" s="3">
        <v>5610</v>
      </c>
      <c r="K198" s="3">
        <v>3646.5</v>
      </c>
      <c r="L198" s="3">
        <v>1963.5</v>
      </c>
    </row>
    <row r="199" spans="1:12" x14ac:dyDescent="0.35">
      <c r="A199" s="1" t="s">
        <v>422</v>
      </c>
      <c r="B199" s="4">
        <v>45848</v>
      </c>
      <c r="C199" s="1" t="s">
        <v>423</v>
      </c>
      <c r="D199" s="1" t="s">
        <v>31</v>
      </c>
      <c r="E199" s="1" t="s">
        <v>23</v>
      </c>
      <c r="F199" s="1" t="s">
        <v>24</v>
      </c>
      <c r="G199" s="1">
        <v>9</v>
      </c>
      <c r="H199" s="1">
        <v>2200</v>
      </c>
      <c r="I199" s="1">
        <v>0.02</v>
      </c>
      <c r="J199" s="1">
        <v>19404</v>
      </c>
      <c r="K199" s="1">
        <v>15523.2</v>
      </c>
      <c r="L199" s="1">
        <v>3880.7999999999993</v>
      </c>
    </row>
    <row r="200" spans="1:12" x14ac:dyDescent="0.35">
      <c r="A200" s="3" t="s">
        <v>424</v>
      </c>
      <c r="B200" s="2">
        <v>45697</v>
      </c>
      <c r="C200" s="3" t="s">
        <v>425</v>
      </c>
      <c r="D200" s="3" t="s">
        <v>17</v>
      </c>
      <c r="E200" s="3" t="s">
        <v>23</v>
      </c>
      <c r="F200" s="3" t="s">
        <v>44</v>
      </c>
      <c r="G200" s="3">
        <v>7</v>
      </c>
      <c r="H200" s="3">
        <v>12500</v>
      </c>
      <c r="I200" s="3">
        <v>0</v>
      </c>
      <c r="J200" s="3">
        <v>87500</v>
      </c>
      <c r="K200" s="3">
        <v>68250</v>
      </c>
      <c r="L200" s="3">
        <v>19250</v>
      </c>
    </row>
    <row r="201" spans="1:12" x14ac:dyDescent="0.35">
      <c r="A201" s="1" t="s">
        <v>426</v>
      </c>
      <c r="B201" s="4">
        <v>46012</v>
      </c>
      <c r="C201" s="1" t="s">
        <v>427</v>
      </c>
      <c r="D201" s="1" t="s">
        <v>22</v>
      </c>
      <c r="E201" s="1" t="s">
        <v>18</v>
      </c>
      <c r="F201" s="1" t="s">
        <v>70</v>
      </c>
      <c r="G201" s="1">
        <v>9</v>
      </c>
      <c r="H201" s="1">
        <v>28000</v>
      </c>
      <c r="I201" s="1">
        <v>0.15</v>
      </c>
      <c r="J201" s="1">
        <v>214200</v>
      </c>
      <c r="K201" s="1">
        <v>171360</v>
      </c>
      <c r="L201" s="1">
        <v>42840</v>
      </c>
    </row>
    <row r="202" spans="1:12" x14ac:dyDescent="0.35">
      <c r="A202" s="3" t="s">
        <v>428</v>
      </c>
      <c r="B202" s="2">
        <v>45659</v>
      </c>
      <c r="C202" s="3" t="s">
        <v>429</v>
      </c>
      <c r="D202" s="3" t="s">
        <v>12</v>
      </c>
      <c r="E202" s="3" t="s">
        <v>13</v>
      </c>
      <c r="F202" s="3" t="s">
        <v>39</v>
      </c>
      <c r="G202" s="3">
        <v>2</v>
      </c>
      <c r="H202" s="3">
        <v>250</v>
      </c>
      <c r="I202" s="3">
        <v>0.1</v>
      </c>
      <c r="J202" s="3">
        <v>450</v>
      </c>
      <c r="K202" s="3">
        <v>355.5</v>
      </c>
      <c r="L202" s="3">
        <v>94.5</v>
      </c>
    </row>
    <row r="203" spans="1:12" x14ac:dyDescent="0.35">
      <c r="A203" s="1" t="s">
        <v>430</v>
      </c>
      <c r="B203" s="4">
        <v>45681</v>
      </c>
      <c r="C203" s="1" t="s">
        <v>431</v>
      </c>
      <c r="D203" s="1" t="s">
        <v>22</v>
      </c>
      <c r="E203" s="1" t="s">
        <v>23</v>
      </c>
      <c r="F203" s="1" t="s">
        <v>39</v>
      </c>
      <c r="G203" s="1">
        <v>1</v>
      </c>
      <c r="H203" s="1">
        <v>250</v>
      </c>
      <c r="I203" s="1">
        <v>0.08</v>
      </c>
      <c r="J203" s="1">
        <v>230</v>
      </c>
      <c r="K203" s="1">
        <v>163.30000000000001</v>
      </c>
      <c r="L203" s="1">
        <v>66.699999999999989</v>
      </c>
    </row>
    <row r="204" spans="1:12" x14ac:dyDescent="0.35">
      <c r="A204" s="3" t="s">
        <v>432</v>
      </c>
      <c r="B204" s="2">
        <v>45711</v>
      </c>
      <c r="C204" s="3" t="s">
        <v>433</v>
      </c>
      <c r="D204" s="3" t="s">
        <v>31</v>
      </c>
      <c r="E204" s="3" t="s">
        <v>27</v>
      </c>
      <c r="F204" s="3" t="s">
        <v>19</v>
      </c>
      <c r="G204" s="3">
        <v>1</v>
      </c>
      <c r="H204" s="3">
        <v>1800</v>
      </c>
      <c r="I204" s="3">
        <v>0.02</v>
      </c>
      <c r="J204" s="3">
        <v>1764</v>
      </c>
      <c r="K204" s="3">
        <v>1234.8</v>
      </c>
      <c r="L204" s="3">
        <v>529.20000000000005</v>
      </c>
    </row>
    <row r="205" spans="1:12" x14ac:dyDescent="0.35">
      <c r="A205" s="1" t="s">
        <v>434</v>
      </c>
      <c r="B205" s="4">
        <v>45763</v>
      </c>
      <c r="C205" s="1" t="s">
        <v>435</v>
      </c>
      <c r="D205" s="1" t="s">
        <v>22</v>
      </c>
      <c r="E205" s="1" t="s">
        <v>18</v>
      </c>
      <c r="F205" s="1" t="s">
        <v>19</v>
      </c>
      <c r="G205" s="1">
        <v>6</v>
      </c>
      <c r="H205" s="1">
        <v>1800</v>
      </c>
      <c r="I205" s="1">
        <v>0.08</v>
      </c>
      <c r="J205" s="1">
        <v>9936</v>
      </c>
      <c r="K205" s="1">
        <v>6557.76</v>
      </c>
      <c r="L205" s="1">
        <v>3378.24</v>
      </c>
    </row>
    <row r="206" spans="1:12" x14ac:dyDescent="0.35">
      <c r="A206" s="3" t="s">
        <v>436</v>
      </c>
      <c r="B206" s="2">
        <v>45833</v>
      </c>
      <c r="C206" s="3" t="s">
        <v>437</v>
      </c>
      <c r="D206" s="3" t="s">
        <v>31</v>
      </c>
      <c r="E206" s="3" t="s">
        <v>18</v>
      </c>
      <c r="F206" s="3" t="s">
        <v>51</v>
      </c>
      <c r="G206" s="3">
        <v>2</v>
      </c>
      <c r="H206" s="3">
        <v>4500</v>
      </c>
      <c r="I206" s="3">
        <v>0.05</v>
      </c>
      <c r="J206" s="3">
        <v>8550</v>
      </c>
      <c r="K206" s="3">
        <v>6156</v>
      </c>
      <c r="L206" s="3">
        <v>2394</v>
      </c>
    </row>
    <row r="207" spans="1:12" x14ac:dyDescent="0.35">
      <c r="A207" s="1" t="s">
        <v>438</v>
      </c>
      <c r="B207" s="4">
        <v>45672</v>
      </c>
      <c r="C207" s="1" t="s">
        <v>439</v>
      </c>
      <c r="D207" s="1" t="s">
        <v>22</v>
      </c>
      <c r="E207" s="1" t="s">
        <v>18</v>
      </c>
      <c r="F207" s="1" t="s">
        <v>44</v>
      </c>
      <c r="G207" s="1">
        <v>6</v>
      </c>
      <c r="H207" s="1">
        <v>12500</v>
      </c>
      <c r="I207" s="1">
        <v>0.15</v>
      </c>
      <c r="J207" s="1">
        <v>63750</v>
      </c>
      <c r="K207" s="1">
        <v>40800</v>
      </c>
      <c r="L207" s="1">
        <v>22950</v>
      </c>
    </row>
    <row r="208" spans="1:12" x14ac:dyDescent="0.35">
      <c r="A208" s="3" t="s">
        <v>440</v>
      </c>
      <c r="B208" s="2">
        <v>45937</v>
      </c>
      <c r="C208" s="3" t="s">
        <v>441</v>
      </c>
      <c r="D208" s="3" t="s">
        <v>31</v>
      </c>
      <c r="E208" s="3" t="s">
        <v>23</v>
      </c>
      <c r="F208" s="3" t="s">
        <v>39</v>
      </c>
      <c r="G208" s="3">
        <v>8</v>
      </c>
      <c r="H208" s="3">
        <v>250</v>
      </c>
      <c r="I208" s="3">
        <v>0.02</v>
      </c>
      <c r="J208" s="3">
        <v>1960</v>
      </c>
      <c r="K208" s="3">
        <v>1332.8</v>
      </c>
      <c r="L208" s="3">
        <v>627.20000000000005</v>
      </c>
    </row>
    <row r="209" spans="1:12" x14ac:dyDescent="0.35">
      <c r="A209" s="1" t="s">
        <v>442</v>
      </c>
      <c r="B209" s="4">
        <v>45767</v>
      </c>
      <c r="C209" s="1" t="s">
        <v>443</v>
      </c>
      <c r="D209" s="1" t="s">
        <v>31</v>
      </c>
      <c r="E209" s="1" t="s">
        <v>13</v>
      </c>
      <c r="F209" s="1" t="s">
        <v>32</v>
      </c>
      <c r="G209" s="1">
        <v>9</v>
      </c>
      <c r="H209" s="1">
        <v>15000</v>
      </c>
      <c r="I209" s="1">
        <v>0.15</v>
      </c>
      <c r="J209" s="1">
        <v>114750</v>
      </c>
      <c r="K209" s="1">
        <v>69997.5</v>
      </c>
      <c r="L209" s="1">
        <v>44752.5</v>
      </c>
    </row>
    <row r="210" spans="1:12" x14ac:dyDescent="0.35">
      <c r="A210" s="3" t="s">
        <v>444</v>
      </c>
      <c r="B210" s="2">
        <v>45866</v>
      </c>
      <c r="C210" s="3" t="s">
        <v>445</v>
      </c>
      <c r="D210" s="3" t="s">
        <v>22</v>
      </c>
      <c r="E210" s="3" t="s">
        <v>13</v>
      </c>
      <c r="F210" s="3" t="s">
        <v>81</v>
      </c>
      <c r="G210" s="3">
        <v>5</v>
      </c>
      <c r="H210" s="3">
        <v>9500</v>
      </c>
      <c r="I210" s="3">
        <v>0.05</v>
      </c>
      <c r="J210" s="3">
        <v>45125</v>
      </c>
      <c r="K210" s="3">
        <v>35197.5</v>
      </c>
      <c r="L210" s="3">
        <v>9927.5</v>
      </c>
    </row>
    <row r="211" spans="1:12" x14ac:dyDescent="0.35">
      <c r="A211" s="1" t="s">
        <v>446</v>
      </c>
      <c r="B211" s="4">
        <v>45914</v>
      </c>
      <c r="C211" s="1" t="s">
        <v>447</v>
      </c>
      <c r="D211" s="1" t="s">
        <v>22</v>
      </c>
      <c r="E211" s="1" t="s">
        <v>23</v>
      </c>
      <c r="F211" s="1" t="s">
        <v>39</v>
      </c>
      <c r="G211" s="1">
        <v>3</v>
      </c>
      <c r="H211" s="1">
        <v>250</v>
      </c>
      <c r="I211" s="1">
        <v>0.15</v>
      </c>
      <c r="J211" s="1">
        <v>637.5</v>
      </c>
      <c r="K211" s="1">
        <v>433.5</v>
      </c>
      <c r="L211" s="1">
        <v>204</v>
      </c>
    </row>
    <row r="212" spans="1:12" x14ac:dyDescent="0.35">
      <c r="A212" s="3" t="s">
        <v>448</v>
      </c>
      <c r="B212" s="2">
        <v>45854</v>
      </c>
      <c r="C212" s="3" t="s">
        <v>449</v>
      </c>
      <c r="D212" s="3" t="s">
        <v>22</v>
      </c>
      <c r="E212" s="3" t="s">
        <v>27</v>
      </c>
      <c r="F212" s="3" t="s">
        <v>44</v>
      </c>
      <c r="G212" s="3">
        <v>5</v>
      </c>
      <c r="H212" s="3">
        <v>12500</v>
      </c>
      <c r="I212" s="3">
        <v>0</v>
      </c>
      <c r="J212" s="3">
        <v>62500</v>
      </c>
      <c r="K212" s="3">
        <v>47500</v>
      </c>
      <c r="L212" s="3">
        <v>15000</v>
      </c>
    </row>
    <row r="213" spans="1:12" x14ac:dyDescent="0.35">
      <c r="A213" s="1" t="s">
        <v>450</v>
      </c>
      <c r="B213" s="4">
        <v>45840</v>
      </c>
      <c r="C213" s="1" t="s">
        <v>451</v>
      </c>
      <c r="D213" s="1" t="s">
        <v>31</v>
      </c>
      <c r="E213" s="1" t="s">
        <v>23</v>
      </c>
      <c r="F213" s="1" t="s">
        <v>39</v>
      </c>
      <c r="G213" s="1">
        <v>1</v>
      </c>
      <c r="H213" s="1">
        <v>250</v>
      </c>
      <c r="I213" s="1">
        <v>0.15</v>
      </c>
      <c r="J213" s="1">
        <v>212.5</v>
      </c>
      <c r="K213" s="1">
        <v>163.625</v>
      </c>
      <c r="L213" s="1">
        <v>48.875</v>
      </c>
    </row>
    <row r="214" spans="1:12" x14ac:dyDescent="0.35">
      <c r="A214" s="3" t="s">
        <v>452</v>
      </c>
      <c r="B214" s="2">
        <v>45920</v>
      </c>
      <c r="C214" s="3" t="s">
        <v>453</v>
      </c>
      <c r="D214" s="3" t="s">
        <v>31</v>
      </c>
      <c r="E214" s="3" t="s">
        <v>23</v>
      </c>
      <c r="F214" s="3" t="s">
        <v>24</v>
      </c>
      <c r="G214" s="3">
        <v>4</v>
      </c>
      <c r="H214" s="3">
        <v>2200</v>
      </c>
      <c r="I214" s="3">
        <v>0.02</v>
      </c>
      <c r="J214" s="3">
        <v>8624</v>
      </c>
      <c r="K214" s="3">
        <v>6554.24</v>
      </c>
      <c r="L214" s="3">
        <v>2069.7600000000002</v>
      </c>
    </row>
    <row r="215" spans="1:12" x14ac:dyDescent="0.35">
      <c r="A215" s="1" t="s">
        <v>454</v>
      </c>
      <c r="B215" s="4">
        <v>45941</v>
      </c>
      <c r="C215" s="1" t="s">
        <v>455</v>
      </c>
      <c r="D215" s="1" t="s">
        <v>12</v>
      </c>
      <c r="E215" s="1" t="s">
        <v>27</v>
      </c>
      <c r="F215" s="1" t="s">
        <v>44</v>
      </c>
      <c r="G215" s="1">
        <v>3</v>
      </c>
      <c r="H215" s="1">
        <v>12500</v>
      </c>
      <c r="I215" s="1">
        <v>0.15</v>
      </c>
      <c r="J215" s="1">
        <v>31875</v>
      </c>
      <c r="K215" s="1">
        <v>19762.5</v>
      </c>
      <c r="L215" s="1">
        <v>12112.5</v>
      </c>
    </row>
    <row r="216" spans="1:12" x14ac:dyDescent="0.35">
      <c r="A216" s="3" t="s">
        <v>456</v>
      </c>
      <c r="B216" s="2">
        <v>45881</v>
      </c>
      <c r="C216" s="3" t="s">
        <v>457</v>
      </c>
      <c r="D216" s="3" t="s">
        <v>22</v>
      </c>
      <c r="E216" s="3" t="s">
        <v>23</v>
      </c>
      <c r="F216" s="3" t="s">
        <v>32</v>
      </c>
      <c r="G216" s="3">
        <v>1</v>
      </c>
      <c r="H216" s="3">
        <v>15000</v>
      </c>
      <c r="I216" s="3">
        <v>0.05</v>
      </c>
      <c r="J216" s="3">
        <v>14250</v>
      </c>
      <c r="K216" s="3">
        <v>9262.5</v>
      </c>
      <c r="L216" s="3">
        <v>4987.5</v>
      </c>
    </row>
    <row r="217" spans="1:12" x14ac:dyDescent="0.35">
      <c r="A217" s="1" t="s">
        <v>458</v>
      </c>
      <c r="B217" s="4">
        <v>45778</v>
      </c>
      <c r="C217" s="1" t="s">
        <v>459</v>
      </c>
      <c r="D217" s="1" t="s">
        <v>12</v>
      </c>
      <c r="E217" s="1" t="s">
        <v>18</v>
      </c>
      <c r="F217" s="1" t="s">
        <v>44</v>
      </c>
      <c r="G217" s="1">
        <v>5</v>
      </c>
      <c r="H217" s="1">
        <v>12500</v>
      </c>
      <c r="I217" s="1">
        <v>0.15</v>
      </c>
      <c r="J217" s="1">
        <v>53125</v>
      </c>
      <c r="K217" s="1">
        <v>35593.75</v>
      </c>
      <c r="L217" s="1">
        <v>17531.25</v>
      </c>
    </row>
    <row r="218" spans="1:12" x14ac:dyDescent="0.35">
      <c r="A218" s="3" t="s">
        <v>460</v>
      </c>
      <c r="B218" s="2">
        <v>45700</v>
      </c>
      <c r="C218" s="3" t="s">
        <v>461</v>
      </c>
      <c r="D218" s="3" t="s">
        <v>22</v>
      </c>
      <c r="E218" s="3" t="s">
        <v>27</v>
      </c>
      <c r="F218" s="3" t="s">
        <v>14</v>
      </c>
      <c r="G218" s="3">
        <v>3</v>
      </c>
      <c r="H218" s="3">
        <v>65000</v>
      </c>
      <c r="I218" s="3">
        <v>0</v>
      </c>
      <c r="J218" s="3">
        <v>195000</v>
      </c>
      <c r="K218" s="3">
        <v>122850</v>
      </c>
      <c r="L218" s="3">
        <v>72150</v>
      </c>
    </row>
    <row r="219" spans="1:12" x14ac:dyDescent="0.35">
      <c r="A219" s="1" t="s">
        <v>462</v>
      </c>
      <c r="B219" s="4">
        <v>45720</v>
      </c>
      <c r="C219" s="1" t="s">
        <v>463</v>
      </c>
      <c r="D219" s="1" t="s">
        <v>22</v>
      </c>
      <c r="E219" s="1" t="s">
        <v>13</v>
      </c>
      <c r="F219" s="1" t="s">
        <v>51</v>
      </c>
      <c r="G219" s="1">
        <v>2</v>
      </c>
      <c r="H219" s="1">
        <v>4500</v>
      </c>
      <c r="I219" s="1">
        <v>0.1</v>
      </c>
      <c r="J219" s="1">
        <v>8100</v>
      </c>
      <c r="K219" s="1">
        <v>6399</v>
      </c>
      <c r="L219" s="1">
        <v>1701</v>
      </c>
    </row>
    <row r="220" spans="1:12" x14ac:dyDescent="0.35">
      <c r="A220" s="3" t="s">
        <v>464</v>
      </c>
      <c r="B220" s="2">
        <v>45766</v>
      </c>
      <c r="C220" s="3" t="s">
        <v>465</v>
      </c>
      <c r="D220" s="3" t="s">
        <v>22</v>
      </c>
      <c r="E220" s="3" t="s">
        <v>18</v>
      </c>
      <c r="F220" s="3" t="s">
        <v>51</v>
      </c>
      <c r="G220" s="3">
        <v>10</v>
      </c>
      <c r="H220" s="3">
        <v>4500</v>
      </c>
      <c r="I220" s="3">
        <v>0.08</v>
      </c>
      <c r="J220" s="3">
        <v>41400</v>
      </c>
      <c r="K220" s="3">
        <v>32292</v>
      </c>
      <c r="L220" s="3">
        <v>9108</v>
      </c>
    </row>
    <row r="221" spans="1:12" x14ac:dyDescent="0.35">
      <c r="A221" s="1" t="s">
        <v>466</v>
      </c>
      <c r="B221" s="4">
        <v>45821</v>
      </c>
      <c r="C221" s="1" t="s">
        <v>467</v>
      </c>
      <c r="D221" s="1" t="s">
        <v>22</v>
      </c>
      <c r="E221" s="1" t="s">
        <v>27</v>
      </c>
      <c r="F221" s="1" t="s">
        <v>14</v>
      </c>
      <c r="G221" s="1">
        <v>10</v>
      </c>
      <c r="H221" s="1">
        <v>65000</v>
      </c>
      <c r="I221" s="1">
        <v>0.08</v>
      </c>
      <c r="J221" s="1">
        <v>598000</v>
      </c>
      <c r="K221" s="1">
        <v>430560</v>
      </c>
      <c r="L221" s="1">
        <v>167440</v>
      </c>
    </row>
    <row r="222" spans="1:12" x14ac:dyDescent="0.35">
      <c r="A222" s="3" t="s">
        <v>468</v>
      </c>
      <c r="B222" s="2">
        <v>45659</v>
      </c>
      <c r="C222" s="3" t="s">
        <v>469</v>
      </c>
      <c r="D222" s="3" t="s">
        <v>17</v>
      </c>
      <c r="E222" s="3" t="s">
        <v>23</v>
      </c>
      <c r="F222" s="3" t="s">
        <v>39</v>
      </c>
      <c r="G222" s="3">
        <v>8</v>
      </c>
      <c r="H222" s="3">
        <v>250</v>
      </c>
      <c r="I222" s="3">
        <v>0</v>
      </c>
      <c r="J222" s="3">
        <v>2000</v>
      </c>
      <c r="K222" s="3">
        <v>1400</v>
      </c>
      <c r="L222" s="3">
        <v>600</v>
      </c>
    </row>
    <row r="223" spans="1:12" x14ac:dyDescent="0.35">
      <c r="A223" s="1" t="s">
        <v>470</v>
      </c>
      <c r="B223" s="4">
        <v>45775</v>
      </c>
      <c r="C223" s="1" t="s">
        <v>471</v>
      </c>
      <c r="D223" s="1" t="s">
        <v>31</v>
      </c>
      <c r="E223" s="1" t="s">
        <v>13</v>
      </c>
      <c r="F223" s="1" t="s">
        <v>19</v>
      </c>
      <c r="G223" s="1">
        <v>7</v>
      </c>
      <c r="H223" s="1">
        <v>1800</v>
      </c>
      <c r="I223" s="1">
        <v>0.08</v>
      </c>
      <c r="J223" s="1">
        <v>11592</v>
      </c>
      <c r="K223" s="1">
        <v>7998.48</v>
      </c>
      <c r="L223" s="1">
        <v>3593.5200000000004</v>
      </c>
    </row>
    <row r="224" spans="1:12" x14ac:dyDescent="0.35">
      <c r="A224" s="3" t="s">
        <v>472</v>
      </c>
      <c r="B224" s="2">
        <v>45931</v>
      </c>
      <c r="C224" s="3" t="s">
        <v>473</v>
      </c>
      <c r="D224" s="3" t="s">
        <v>31</v>
      </c>
      <c r="E224" s="3" t="s">
        <v>18</v>
      </c>
      <c r="F224" s="3" t="s">
        <v>44</v>
      </c>
      <c r="G224" s="3">
        <v>9</v>
      </c>
      <c r="H224" s="3">
        <v>12500</v>
      </c>
      <c r="I224" s="3">
        <v>0.1</v>
      </c>
      <c r="J224" s="3">
        <v>101250</v>
      </c>
      <c r="K224" s="3">
        <v>62775</v>
      </c>
      <c r="L224" s="3">
        <v>38475</v>
      </c>
    </row>
    <row r="225" spans="1:12" x14ac:dyDescent="0.35">
      <c r="A225" s="1" t="s">
        <v>474</v>
      </c>
      <c r="B225" s="4">
        <v>45944</v>
      </c>
      <c r="C225" s="1" t="s">
        <v>475</v>
      </c>
      <c r="D225" s="1" t="s">
        <v>12</v>
      </c>
      <c r="E225" s="1" t="s">
        <v>18</v>
      </c>
      <c r="F225" s="1" t="s">
        <v>44</v>
      </c>
      <c r="G225" s="1">
        <v>6</v>
      </c>
      <c r="H225" s="1">
        <v>12500</v>
      </c>
      <c r="I225" s="1">
        <v>0.15</v>
      </c>
      <c r="J225" s="1">
        <v>63750</v>
      </c>
      <c r="K225" s="1">
        <v>39525</v>
      </c>
      <c r="L225" s="1">
        <v>24225</v>
      </c>
    </row>
    <row r="226" spans="1:12" x14ac:dyDescent="0.35">
      <c r="A226" s="3" t="s">
        <v>476</v>
      </c>
      <c r="B226" s="2">
        <v>46017</v>
      </c>
      <c r="C226" s="3" t="s">
        <v>477</v>
      </c>
      <c r="D226" s="3" t="s">
        <v>22</v>
      </c>
      <c r="E226" s="3" t="s">
        <v>13</v>
      </c>
      <c r="F226" s="3" t="s">
        <v>70</v>
      </c>
      <c r="G226" s="3">
        <v>9</v>
      </c>
      <c r="H226" s="3">
        <v>28000</v>
      </c>
      <c r="I226" s="3">
        <v>0.02</v>
      </c>
      <c r="J226" s="3">
        <v>246960</v>
      </c>
      <c r="K226" s="3">
        <v>153115.20000000001</v>
      </c>
      <c r="L226" s="3">
        <v>93844.799999999988</v>
      </c>
    </row>
    <row r="227" spans="1:12" x14ac:dyDescent="0.35">
      <c r="A227" s="1" t="s">
        <v>478</v>
      </c>
      <c r="B227" s="4">
        <v>45661</v>
      </c>
      <c r="C227" s="1" t="s">
        <v>479</v>
      </c>
      <c r="D227" s="1" t="s">
        <v>12</v>
      </c>
      <c r="E227" s="1" t="s">
        <v>18</v>
      </c>
      <c r="F227" s="1" t="s">
        <v>44</v>
      </c>
      <c r="G227" s="1">
        <v>7</v>
      </c>
      <c r="H227" s="1">
        <v>12500</v>
      </c>
      <c r="I227" s="1">
        <v>0.05</v>
      </c>
      <c r="J227" s="1">
        <v>83125</v>
      </c>
      <c r="K227" s="1">
        <v>64006.25</v>
      </c>
      <c r="L227" s="1">
        <v>19118.75</v>
      </c>
    </row>
    <row r="228" spans="1:12" x14ac:dyDescent="0.35">
      <c r="A228" s="3" t="s">
        <v>480</v>
      </c>
      <c r="B228" s="2">
        <v>45885</v>
      </c>
      <c r="C228" s="3" t="s">
        <v>481</v>
      </c>
      <c r="D228" s="3" t="s">
        <v>22</v>
      </c>
      <c r="E228" s="3" t="s">
        <v>13</v>
      </c>
      <c r="F228" s="3" t="s">
        <v>51</v>
      </c>
      <c r="G228" s="3">
        <v>8</v>
      </c>
      <c r="H228" s="3">
        <v>4500</v>
      </c>
      <c r="I228" s="3">
        <v>0.08</v>
      </c>
      <c r="J228" s="3">
        <v>33120</v>
      </c>
      <c r="K228" s="3">
        <v>21196.799999999999</v>
      </c>
      <c r="L228" s="3">
        <v>11923.2</v>
      </c>
    </row>
    <row r="229" spans="1:12" x14ac:dyDescent="0.35">
      <c r="A229" s="1" t="s">
        <v>482</v>
      </c>
      <c r="B229" s="4">
        <v>45914</v>
      </c>
      <c r="C229" s="1" t="s">
        <v>483</v>
      </c>
      <c r="D229" s="1" t="s">
        <v>17</v>
      </c>
      <c r="E229" s="1" t="s">
        <v>27</v>
      </c>
      <c r="F229" s="1" t="s">
        <v>24</v>
      </c>
      <c r="G229" s="1">
        <v>4</v>
      </c>
      <c r="H229" s="1">
        <v>2200</v>
      </c>
      <c r="I229" s="1">
        <v>0.1</v>
      </c>
      <c r="J229" s="1">
        <v>7920</v>
      </c>
      <c r="K229" s="1">
        <v>5781.6</v>
      </c>
      <c r="L229" s="1">
        <v>2138.3999999999996</v>
      </c>
    </row>
    <row r="230" spans="1:12" x14ac:dyDescent="0.35">
      <c r="A230" s="3" t="s">
        <v>484</v>
      </c>
      <c r="B230" s="2">
        <v>45706</v>
      </c>
      <c r="C230" s="3" t="s">
        <v>485</v>
      </c>
      <c r="D230" s="3" t="s">
        <v>17</v>
      </c>
      <c r="E230" s="3" t="s">
        <v>23</v>
      </c>
      <c r="F230" s="3" t="s">
        <v>24</v>
      </c>
      <c r="G230" s="3">
        <v>6</v>
      </c>
      <c r="H230" s="3">
        <v>2200</v>
      </c>
      <c r="I230" s="3">
        <v>0.08</v>
      </c>
      <c r="J230" s="3">
        <v>12144</v>
      </c>
      <c r="K230" s="3">
        <v>8136.48</v>
      </c>
      <c r="L230" s="3">
        <v>4007.5200000000004</v>
      </c>
    </row>
    <row r="231" spans="1:12" x14ac:dyDescent="0.35">
      <c r="A231" s="1" t="s">
        <v>486</v>
      </c>
      <c r="B231" s="4">
        <v>45664</v>
      </c>
      <c r="C231" s="1" t="s">
        <v>487</v>
      </c>
      <c r="D231" s="1" t="s">
        <v>22</v>
      </c>
      <c r="E231" s="1" t="s">
        <v>27</v>
      </c>
      <c r="F231" s="1" t="s">
        <v>39</v>
      </c>
      <c r="G231" s="1">
        <v>2</v>
      </c>
      <c r="H231" s="1">
        <v>250</v>
      </c>
      <c r="I231" s="1">
        <v>0</v>
      </c>
      <c r="J231" s="1">
        <v>500</v>
      </c>
      <c r="K231" s="1">
        <v>385</v>
      </c>
      <c r="L231" s="1">
        <v>115</v>
      </c>
    </row>
    <row r="232" spans="1:12" x14ac:dyDescent="0.35">
      <c r="A232" s="3" t="s">
        <v>488</v>
      </c>
      <c r="B232" s="2">
        <v>45784</v>
      </c>
      <c r="C232" s="3" t="s">
        <v>489</v>
      </c>
      <c r="D232" s="3" t="s">
        <v>22</v>
      </c>
      <c r="E232" s="3" t="s">
        <v>13</v>
      </c>
      <c r="F232" s="3" t="s">
        <v>28</v>
      </c>
      <c r="G232" s="3">
        <v>4</v>
      </c>
      <c r="H232" s="3">
        <v>18000</v>
      </c>
      <c r="I232" s="3">
        <v>0</v>
      </c>
      <c r="J232" s="3">
        <v>72000</v>
      </c>
      <c r="K232" s="3">
        <v>56880</v>
      </c>
      <c r="L232" s="3">
        <v>15120</v>
      </c>
    </row>
    <row r="233" spans="1:12" x14ac:dyDescent="0.35">
      <c r="A233" s="1" t="s">
        <v>490</v>
      </c>
      <c r="B233" s="4">
        <v>45914</v>
      </c>
      <c r="C233" s="1" t="s">
        <v>491</v>
      </c>
      <c r="D233" s="1" t="s">
        <v>31</v>
      </c>
      <c r="E233" s="1" t="s">
        <v>18</v>
      </c>
      <c r="F233" s="1" t="s">
        <v>39</v>
      </c>
      <c r="G233" s="1">
        <v>10</v>
      </c>
      <c r="H233" s="1">
        <v>250</v>
      </c>
      <c r="I233" s="1">
        <v>0.15</v>
      </c>
      <c r="J233" s="1">
        <v>2125</v>
      </c>
      <c r="K233" s="1">
        <v>1593.75</v>
      </c>
      <c r="L233" s="1">
        <v>531.25</v>
      </c>
    </row>
    <row r="234" spans="1:12" x14ac:dyDescent="0.35">
      <c r="A234" s="3" t="s">
        <v>492</v>
      </c>
      <c r="B234" s="2">
        <v>45696</v>
      </c>
      <c r="C234" s="3" t="s">
        <v>493</v>
      </c>
      <c r="D234" s="3" t="s">
        <v>31</v>
      </c>
      <c r="E234" s="3" t="s">
        <v>23</v>
      </c>
      <c r="F234" s="3" t="s">
        <v>24</v>
      </c>
      <c r="G234" s="3">
        <v>9</v>
      </c>
      <c r="H234" s="3">
        <v>2200</v>
      </c>
      <c r="I234" s="3">
        <v>0.05</v>
      </c>
      <c r="J234" s="3">
        <v>18810</v>
      </c>
      <c r="K234" s="3">
        <v>14107.5</v>
      </c>
      <c r="L234" s="3">
        <v>4702.5</v>
      </c>
    </row>
    <row r="235" spans="1:12" x14ac:dyDescent="0.35">
      <c r="A235" s="1" t="s">
        <v>494</v>
      </c>
      <c r="B235" s="4">
        <v>45849</v>
      </c>
      <c r="C235" s="1" t="s">
        <v>495</v>
      </c>
      <c r="D235" s="1" t="s">
        <v>17</v>
      </c>
      <c r="E235" s="1" t="s">
        <v>27</v>
      </c>
      <c r="F235" s="1" t="s">
        <v>28</v>
      </c>
      <c r="G235" s="1">
        <v>5</v>
      </c>
      <c r="H235" s="1">
        <v>18000</v>
      </c>
      <c r="I235" s="1">
        <v>0.15</v>
      </c>
      <c r="J235" s="1">
        <v>76500</v>
      </c>
      <c r="K235" s="1">
        <v>53550</v>
      </c>
      <c r="L235" s="1">
        <v>22950</v>
      </c>
    </row>
    <row r="236" spans="1:12" x14ac:dyDescent="0.35">
      <c r="A236" s="3" t="s">
        <v>496</v>
      </c>
      <c r="B236" s="2">
        <v>45696</v>
      </c>
      <c r="C236" s="3" t="s">
        <v>497</v>
      </c>
      <c r="D236" s="3" t="s">
        <v>31</v>
      </c>
      <c r="E236" s="3" t="s">
        <v>27</v>
      </c>
      <c r="F236" s="3" t="s">
        <v>28</v>
      </c>
      <c r="G236" s="3">
        <v>8</v>
      </c>
      <c r="H236" s="3">
        <v>18000</v>
      </c>
      <c r="I236" s="3">
        <v>0.02</v>
      </c>
      <c r="J236" s="3">
        <v>141120</v>
      </c>
      <c r="K236" s="3">
        <v>90316.800000000003</v>
      </c>
      <c r="L236" s="3">
        <v>50803.199999999997</v>
      </c>
    </row>
    <row r="237" spans="1:12" x14ac:dyDescent="0.35">
      <c r="A237" s="1" t="s">
        <v>498</v>
      </c>
      <c r="B237" s="4">
        <v>45685</v>
      </c>
      <c r="C237" s="1" t="s">
        <v>499</v>
      </c>
      <c r="D237" s="1" t="s">
        <v>22</v>
      </c>
      <c r="E237" s="1" t="s">
        <v>18</v>
      </c>
      <c r="F237" s="1" t="s">
        <v>70</v>
      </c>
      <c r="G237" s="1">
        <v>5</v>
      </c>
      <c r="H237" s="1">
        <v>28000</v>
      </c>
      <c r="I237" s="1">
        <v>0.08</v>
      </c>
      <c r="J237" s="1">
        <v>128800</v>
      </c>
      <c r="K237" s="1">
        <v>82432</v>
      </c>
      <c r="L237" s="1">
        <v>46368</v>
      </c>
    </row>
    <row r="238" spans="1:12" x14ac:dyDescent="0.35">
      <c r="A238" s="3" t="s">
        <v>500</v>
      </c>
      <c r="B238" s="2">
        <v>45887</v>
      </c>
      <c r="C238" s="3" t="s">
        <v>501</v>
      </c>
      <c r="D238" s="3" t="s">
        <v>31</v>
      </c>
      <c r="E238" s="3" t="s">
        <v>27</v>
      </c>
      <c r="F238" s="3" t="s">
        <v>24</v>
      </c>
      <c r="G238" s="3">
        <v>7</v>
      </c>
      <c r="H238" s="3">
        <v>2200</v>
      </c>
      <c r="I238" s="3">
        <v>0.08</v>
      </c>
      <c r="J238" s="3">
        <v>14168</v>
      </c>
      <c r="K238" s="3">
        <v>10200.959999999999</v>
      </c>
      <c r="L238" s="3">
        <v>3967.0400000000009</v>
      </c>
    </row>
    <row r="239" spans="1:12" x14ac:dyDescent="0.35">
      <c r="A239" s="1" t="s">
        <v>502</v>
      </c>
      <c r="B239" s="4">
        <v>45884</v>
      </c>
      <c r="C239" s="1" t="s">
        <v>503</v>
      </c>
      <c r="D239" s="1" t="s">
        <v>31</v>
      </c>
      <c r="E239" s="1" t="s">
        <v>23</v>
      </c>
      <c r="F239" s="1" t="s">
        <v>19</v>
      </c>
      <c r="G239" s="1">
        <v>3</v>
      </c>
      <c r="H239" s="1">
        <v>1800</v>
      </c>
      <c r="I239" s="1">
        <v>0.08</v>
      </c>
      <c r="J239" s="1">
        <v>4968</v>
      </c>
      <c r="K239" s="1">
        <v>3974.4</v>
      </c>
      <c r="L239" s="1">
        <v>993.59999999999991</v>
      </c>
    </row>
    <row r="240" spans="1:12" x14ac:dyDescent="0.35">
      <c r="A240" s="3" t="s">
        <v>504</v>
      </c>
      <c r="B240" s="2">
        <v>45714</v>
      </c>
      <c r="C240" s="3" t="s">
        <v>505</v>
      </c>
      <c r="D240" s="3" t="s">
        <v>17</v>
      </c>
      <c r="E240" s="3" t="s">
        <v>13</v>
      </c>
      <c r="F240" s="3" t="s">
        <v>39</v>
      </c>
      <c r="G240" s="3">
        <v>6</v>
      </c>
      <c r="H240" s="3">
        <v>250</v>
      </c>
      <c r="I240" s="3">
        <v>0.1</v>
      </c>
      <c r="J240" s="3">
        <v>1350</v>
      </c>
      <c r="K240" s="3">
        <v>1039.5</v>
      </c>
      <c r="L240" s="3">
        <v>310.5</v>
      </c>
    </row>
    <row r="241" spans="1:12" x14ac:dyDescent="0.35">
      <c r="A241" s="1" t="s">
        <v>506</v>
      </c>
      <c r="B241" s="4">
        <v>46009</v>
      </c>
      <c r="C241" s="1" t="s">
        <v>507</v>
      </c>
      <c r="D241" s="1" t="s">
        <v>31</v>
      </c>
      <c r="E241" s="1" t="s">
        <v>18</v>
      </c>
      <c r="F241" s="1" t="s">
        <v>14</v>
      </c>
      <c r="G241" s="1">
        <v>9</v>
      </c>
      <c r="H241" s="1">
        <v>65000</v>
      </c>
      <c r="I241" s="1">
        <v>0</v>
      </c>
      <c r="J241" s="1">
        <v>585000</v>
      </c>
      <c r="K241" s="1">
        <v>351000</v>
      </c>
      <c r="L241" s="1">
        <v>234000</v>
      </c>
    </row>
    <row r="242" spans="1:12" x14ac:dyDescent="0.35">
      <c r="A242" s="3" t="s">
        <v>508</v>
      </c>
      <c r="B242" s="2">
        <v>45672</v>
      </c>
      <c r="C242" s="3" t="s">
        <v>509</v>
      </c>
      <c r="D242" s="3" t="s">
        <v>12</v>
      </c>
      <c r="E242" s="3" t="s">
        <v>18</v>
      </c>
      <c r="F242" s="3" t="s">
        <v>81</v>
      </c>
      <c r="G242" s="3">
        <v>2</v>
      </c>
      <c r="H242" s="3">
        <v>9500</v>
      </c>
      <c r="I242" s="3">
        <v>0.05</v>
      </c>
      <c r="J242" s="3">
        <v>18050</v>
      </c>
      <c r="K242" s="3">
        <v>13718</v>
      </c>
      <c r="L242" s="3">
        <v>4332</v>
      </c>
    </row>
    <row r="243" spans="1:12" x14ac:dyDescent="0.35">
      <c r="A243" s="1" t="s">
        <v>510</v>
      </c>
      <c r="B243" s="4">
        <v>45771</v>
      </c>
      <c r="C243" s="1" t="s">
        <v>511</v>
      </c>
      <c r="D243" s="1" t="s">
        <v>12</v>
      </c>
      <c r="E243" s="1" t="s">
        <v>18</v>
      </c>
      <c r="F243" s="1" t="s">
        <v>32</v>
      </c>
      <c r="G243" s="1">
        <v>3</v>
      </c>
      <c r="H243" s="1">
        <v>15000</v>
      </c>
      <c r="I243" s="1">
        <v>0</v>
      </c>
      <c r="J243" s="1">
        <v>45000</v>
      </c>
      <c r="K243" s="1">
        <v>27900</v>
      </c>
      <c r="L243" s="1">
        <v>17100</v>
      </c>
    </row>
    <row r="244" spans="1:12" x14ac:dyDescent="0.35">
      <c r="A244" s="3" t="s">
        <v>512</v>
      </c>
      <c r="B244" s="2">
        <v>45994</v>
      </c>
      <c r="C244" s="3" t="s">
        <v>513</v>
      </c>
      <c r="D244" s="3" t="s">
        <v>22</v>
      </c>
      <c r="E244" s="3" t="s">
        <v>13</v>
      </c>
      <c r="F244" s="3" t="s">
        <v>19</v>
      </c>
      <c r="G244" s="3">
        <v>2</v>
      </c>
      <c r="H244" s="3">
        <v>1800</v>
      </c>
      <c r="I244" s="3">
        <v>0.1</v>
      </c>
      <c r="J244" s="3">
        <v>3240</v>
      </c>
      <c r="K244" s="3">
        <v>2527.1999999999998</v>
      </c>
      <c r="L244" s="3">
        <v>712.80000000000018</v>
      </c>
    </row>
    <row r="245" spans="1:12" x14ac:dyDescent="0.35">
      <c r="A245" s="1" t="s">
        <v>514</v>
      </c>
      <c r="B245" s="4">
        <v>45949</v>
      </c>
      <c r="C245" s="1" t="s">
        <v>515</v>
      </c>
      <c r="D245" s="1" t="s">
        <v>31</v>
      </c>
      <c r="E245" s="1" t="s">
        <v>18</v>
      </c>
      <c r="F245" s="1" t="s">
        <v>44</v>
      </c>
      <c r="G245" s="1">
        <v>10</v>
      </c>
      <c r="H245" s="1">
        <v>12500</v>
      </c>
      <c r="I245" s="1">
        <v>0.15</v>
      </c>
      <c r="J245" s="1">
        <v>106250</v>
      </c>
      <c r="K245" s="1">
        <v>78625</v>
      </c>
      <c r="L245" s="1">
        <v>27625</v>
      </c>
    </row>
    <row r="246" spans="1:12" x14ac:dyDescent="0.35">
      <c r="A246" s="3" t="s">
        <v>516</v>
      </c>
      <c r="B246" s="2">
        <v>45996</v>
      </c>
      <c r="C246" s="3" t="s">
        <v>517</v>
      </c>
      <c r="D246" s="3" t="s">
        <v>22</v>
      </c>
      <c r="E246" s="3" t="s">
        <v>18</v>
      </c>
      <c r="F246" s="3" t="s">
        <v>51</v>
      </c>
      <c r="G246" s="3">
        <v>3</v>
      </c>
      <c r="H246" s="3">
        <v>4500</v>
      </c>
      <c r="I246" s="3">
        <v>0.05</v>
      </c>
      <c r="J246" s="3">
        <v>12825</v>
      </c>
      <c r="K246" s="3">
        <v>8849.25</v>
      </c>
      <c r="L246" s="3">
        <v>3975.75</v>
      </c>
    </row>
    <row r="247" spans="1:12" x14ac:dyDescent="0.35">
      <c r="A247" s="1" t="s">
        <v>518</v>
      </c>
      <c r="B247" s="4">
        <v>45872</v>
      </c>
      <c r="C247" s="1" t="s">
        <v>519</v>
      </c>
      <c r="D247" s="1" t="s">
        <v>22</v>
      </c>
      <c r="E247" s="1" t="s">
        <v>13</v>
      </c>
      <c r="F247" s="1" t="s">
        <v>28</v>
      </c>
      <c r="G247" s="1">
        <v>3</v>
      </c>
      <c r="H247" s="1">
        <v>18000</v>
      </c>
      <c r="I247" s="1">
        <v>0.08</v>
      </c>
      <c r="J247" s="1">
        <v>49680</v>
      </c>
      <c r="K247" s="1">
        <v>34279.199999999997</v>
      </c>
      <c r="L247" s="1">
        <v>15400.800000000003</v>
      </c>
    </row>
    <row r="248" spans="1:12" x14ac:dyDescent="0.35">
      <c r="A248" s="3" t="s">
        <v>520</v>
      </c>
      <c r="B248" s="2">
        <v>45946</v>
      </c>
      <c r="C248" s="3" t="s">
        <v>521</v>
      </c>
      <c r="D248" s="3" t="s">
        <v>22</v>
      </c>
      <c r="E248" s="3" t="s">
        <v>13</v>
      </c>
      <c r="F248" s="3" t="s">
        <v>51</v>
      </c>
      <c r="G248" s="3">
        <v>3</v>
      </c>
      <c r="H248" s="3">
        <v>4500</v>
      </c>
      <c r="I248" s="3">
        <v>0.02</v>
      </c>
      <c r="J248" s="3">
        <v>13230</v>
      </c>
      <c r="K248" s="3">
        <v>9790.2000000000007</v>
      </c>
      <c r="L248" s="3">
        <v>3439.7999999999993</v>
      </c>
    </row>
    <row r="249" spans="1:12" x14ac:dyDescent="0.35">
      <c r="A249" s="1" t="s">
        <v>522</v>
      </c>
      <c r="B249" s="4">
        <v>45872</v>
      </c>
      <c r="C249" s="1" t="s">
        <v>523</v>
      </c>
      <c r="D249" s="1" t="s">
        <v>12</v>
      </c>
      <c r="E249" s="1" t="s">
        <v>13</v>
      </c>
      <c r="F249" s="1" t="s">
        <v>39</v>
      </c>
      <c r="G249" s="1">
        <v>2</v>
      </c>
      <c r="H249" s="1">
        <v>250</v>
      </c>
      <c r="I249" s="1">
        <v>0.02</v>
      </c>
      <c r="J249" s="1">
        <v>490</v>
      </c>
      <c r="K249" s="1">
        <v>367.5</v>
      </c>
      <c r="L249" s="1">
        <v>122.5</v>
      </c>
    </row>
    <row r="250" spans="1:12" x14ac:dyDescent="0.35">
      <c r="A250" s="3" t="s">
        <v>524</v>
      </c>
      <c r="B250" s="2">
        <v>45947</v>
      </c>
      <c r="C250" s="3" t="s">
        <v>525</v>
      </c>
      <c r="D250" s="3" t="s">
        <v>12</v>
      </c>
      <c r="E250" s="3" t="s">
        <v>27</v>
      </c>
      <c r="F250" s="3" t="s">
        <v>14</v>
      </c>
      <c r="G250" s="3">
        <v>5</v>
      </c>
      <c r="H250" s="3">
        <v>65000</v>
      </c>
      <c r="I250" s="3">
        <v>0.15</v>
      </c>
      <c r="J250" s="3">
        <v>276250</v>
      </c>
      <c r="K250" s="3">
        <v>171275</v>
      </c>
      <c r="L250" s="3">
        <v>104975</v>
      </c>
    </row>
    <row r="251" spans="1:12" x14ac:dyDescent="0.35">
      <c r="A251" s="1" t="s">
        <v>526</v>
      </c>
      <c r="B251" s="4">
        <v>45842</v>
      </c>
      <c r="C251" s="1" t="s">
        <v>527</v>
      </c>
      <c r="D251" s="1" t="s">
        <v>17</v>
      </c>
      <c r="E251" s="1" t="s">
        <v>13</v>
      </c>
      <c r="F251" s="1" t="s">
        <v>24</v>
      </c>
      <c r="G251" s="1">
        <v>10</v>
      </c>
      <c r="H251" s="1">
        <v>2200</v>
      </c>
      <c r="I251" s="1">
        <v>0</v>
      </c>
      <c r="J251" s="1">
        <v>22000</v>
      </c>
      <c r="K251" s="1">
        <v>13420</v>
      </c>
      <c r="L251" s="1">
        <v>8580</v>
      </c>
    </row>
    <row r="252" spans="1:12" x14ac:dyDescent="0.35">
      <c r="A252" s="3" t="s">
        <v>528</v>
      </c>
      <c r="B252" s="2">
        <v>46014</v>
      </c>
      <c r="C252" s="3" t="s">
        <v>529</v>
      </c>
      <c r="D252" s="3" t="s">
        <v>12</v>
      </c>
      <c r="E252" s="3" t="s">
        <v>13</v>
      </c>
      <c r="F252" s="3" t="s">
        <v>14</v>
      </c>
      <c r="G252" s="3">
        <v>8</v>
      </c>
      <c r="H252" s="3">
        <v>65000</v>
      </c>
      <c r="I252" s="3">
        <v>0.15</v>
      </c>
      <c r="J252" s="3">
        <v>442000</v>
      </c>
      <c r="K252" s="3">
        <v>296140</v>
      </c>
      <c r="L252" s="3">
        <v>145860</v>
      </c>
    </row>
    <row r="253" spans="1:12" x14ac:dyDescent="0.35">
      <c r="A253" s="1" t="s">
        <v>530</v>
      </c>
      <c r="B253" s="4">
        <v>45773</v>
      </c>
      <c r="C253" s="1" t="s">
        <v>531</v>
      </c>
      <c r="D253" s="1" t="s">
        <v>17</v>
      </c>
      <c r="E253" s="1" t="s">
        <v>27</v>
      </c>
      <c r="F253" s="1" t="s">
        <v>70</v>
      </c>
      <c r="G253" s="1">
        <v>2</v>
      </c>
      <c r="H253" s="1">
        <v>28000</v>
      </c>
      <c r="I253" s="1">
        <v>0.05</v>
      </c>
      <c r="J253" s="1">
        <v>53200</v>
      </c>
      <c r="K253" s="1">
        <v>38836</v>
      </c>
      <c r="L253" s="1">
        <v>14364</v>
      </c>
    </row>
    <row r="254" spans="1:12" x14ac:dyDescent="0.35">
      <c r="A254" s="3" t="s">
        <v>532</v>
      </c>
      <c r="B254" s="2">
        <v>45839</v>
      </c>
      <c r="C254" s="3" t="s">
        <v>533</v>
      </c>
      <c r="D254" s="3" t="s">
        <v>17</v>
      </c>
      <c r="E254" s="3" t="s">
        <v>18</v>
      </c>
      <c r="F254" s="3" t="s">
        <v>19</v>
      </c>
      <c r="G254" s="3">
        <v>1</v>
      </c>
      <c r="H254" s="3">
        <v>1800</v>
      </c>
      <c r="I254" s="3">
        <v>0.1</v>
      </c>
      <c r="J254" s="3">
        <v>1620</v>
      </c>
      <c r="K254" s="3">
        <v>1231.2</v>
      </c>
      <c r="L254" s="3">
        <v>388.79999999999995</v>
      </c>
    </row>
    <row r="255" spans="1:12" x14ac:dyDescent="0.35">
      <c r="A255" s="1" t="s">
        <v>534</v>
      </c>
      <c r="B255" s="4">
        <v>45735</v>
      </c>
      <c r="C255" s="1" t="s">
        <v>535</v>
      </c>
      <c r="D255" s="1" t="s">
        <v>22</v>
      </c>
      <c r="E255" s="1" t="s">
        <v>23</v>
      </c>
      <c r="F255" s="1" t="s">
        <v>14</v>
      </c>
      <c r="G255" s="1">
        <v>10</v>
      </c>
      <c r="H255" s="1">
        <v>65000</v>
      </c>
      <c r="I255" s="1">
        <v>0.1</v>
      </c>
      <c r="J255" s="1">
        <v>585000</v>
      </c>
      <c r="K255" s="1">
        <v>421200</v>
      </c>
      <c r="L255" s="1">
        <v>163800</v>
      </c>
    </row>
    <row r="256" spans="1:12" x14ac:dyDescent="0.35">
      <c r="A256" s="3" t="s">
        <v>536</v>
      </c>
      <c r="B256" s="2">
        <v>45948</v>
      </c>
      <c r="C256" s="3" t="s">
        <v>537</v>
      </c>
      <c r="D256" s="3" t="s">
        <v>12</v>
      </c>
      <c r="E256" s="3" t="s">
        <v>18</v>
      </c>
      <c r="F256" s="3" t="s">
        <v>19</v>
      </c>
      <c r="G256" s="3">
        <v>10</v>
      </c>
      <c r="H256" s="3">
        <v>1800</v>
      </c>
      <c r="I256" s="3">
        <v>0.08</v>
      </c>
      <c r="J256" s="3">
        <v>16560</v>
      </c>
      <c r="K256" s="3">
        <v>12585.6</v>
      </c>
      <c r="L256" s="3">
        <v>3974.3999999999996</v>
      </c>
    </row>
    <row r="257" spans="1:12" x14ac:dyDescent="0.35">
      <c r="A257" s="1" t="s">
        <v>538</v>
      </c>
      <c r="B257" s="4">
        <v>45826</v>
      </c>
      <c r="C257" s="1" t="s">
        <v>539</v>
      </c>
      <c r="D257" s="1" t="s">
        <v>31</v>
      </c>
      <c r="E257" s="1" t="s">
        <v>23</v>
      </c>
      <c r="F257" s="1" t="s">
        <v>28</v>
      </c>
      <c r="G257" s="1">
        <v>1</v>
      </c>
      <c r="H257" s="1">
        <v>18000</v>
      </c>
      <c r="I257" s="1">
        <v>0.15</v>
      </c>
      <c r="J257" s="1">
        <v>15300</v>
      </c>
      <c r="K257" s="1">
        <v>11934</v>
      </c>
      <c r="L257" s="1">
        <v>3366</v>
      </c>
    </row>
    <row r="258" spans="1:12" x14ac:dyDescent="0.35">
      <c r="A258" s="3" t="s">
        <v>540</v>
      </c>
      <c r="B258" s="2">
        <v>45877</v>
      </c>
      <c r="C258" s="3" t="s">
        <v>541</v>
      </c>
      <c r="D258" s="3" t="s">
        <v>12</v>
      </c>
      <c r="E258" s="3" t="s">
        <v>23</v>
      </c>
      <c r="F258" s="3" t="s">
        <v>39</v>
      </c>
      <c r="G258" s="3">
        <v>4</v>
      </c>
      <c r="H258" s="3">
        <v>250</v>
      </c>
      <c r="I258" s="3">
        <v>0.08</v>
      </c>
      <c r="J258" s="3">
        <v>920</v>
      </c>
      <c r="K258" s="3">
        <v>717.6</v>
      </c>
      <c r="L258" s="3">
        <v>202.39999999999998</v>
      </c>
    </row>
    <row r="259" spans="1:12" x14ac:dyDescent="0.35">
      <c r="A259" s="1" t="s">
        <v>542</v>
      </c>
      <c r="B259" s="4">
        <v>45894</v>
      </c>
      <c r="C259" s="1" t="s">
        <v>543</v>
      </c>
      <c r="D259" s="1" t="s">
        <v>31</v>
      </c>
      <c r="E259" s="1" t="s">
        <v>23</v>
      </c>
      <c r="F259" s="1" t="s">
        <v>44</v>
      </c>
      <c r="G259" s="1">
        <v>5</v>
      </c>
      <c r="H259" s="1">
        <v>12500</v>
      </c>
      <c r="I259" s="1">
        <v>0.1</v>
      </c>
      <c r="J259" s="1">
        <v>56250</v>
      </c>
      <c r="K259" s="1">
        <v>38250</v>
      </c>
      <c r="L259" s="1">
        <v>18000</v>
      </c>
    </row>
    <row r="260" spans="1:12" x14ac:dyDescent="0.35">
      <c r="A260" s="3" t="s">
        <v>544</v>
      </c>
      <c r="B260" s="2">
        <v>45787</v>
      </c>
      <c r="C260" s="3" t="s">
        <v>545</v>
      </c>
      <c r="D260" s="3" t="s">
        <v>22</v>
      </c>
      <c r="E260" s="3" t="s">
        <v>27</v>
      </c>
      <c r="F260" s="3" t="s">
        <v>70</v>
      </c>
      <c r="G260" s="3">
        <v>10</v>
      </c>
      <c r="H260" s="3">
        <v>28000</v>
      </c>
      <c r="I260" s="3">
        <v>0.1</v>
      </c>
      <c r="J260" s="3">
        <v>252000</v>
      </c>
      <c r="K260" s="3">
        <v>176400</v>
      </c>
      <c r="L260" s="3">
        <v>75600</v>
      </c>
    </row>
    <row r="261" spans="1:12" x14ac:dyDescent="0.35">
      <c r="A261" s="1" t="s">
        <v>546</v>
      </c>
      <c r="B261" s="4">
        <v>45767</v>
      </c>
      <c r="C261" s="1" t="s">
        <v>547</v>
      </c>
      <c r="D261" s="1" t="s">
        <v>12</v>
      </c>
      <c r="E261" s="1" t="s">
        <v>23</v>
      </c>
      <c r="F261" s="1" t="s">
        <v>81</v>
      </c>
      <c r="G261" s="1">
        <v>10</v>
      </c>
      <c r="H261" s="1">
        <v>9500</v>
      </c>
      <c r="I261" s="1">
        <v>0.08</v>
      </c>
      <c r="J261" s="1">
        <v>87400</v>
      </c>
      <c r="K261" s="1">
        <v>55062</v>
      </c>
      <c r="L261" s="1">
        <v>32338</v>
      </c>
    </row>
    <row r="262" spans="1:12" x14ac:dyDescent="0.35">
      <c r="A262" s="3" t="s">
        <v>548</v>
      </c>
      <c r="B262" s="2">
        <v>45855</v>
      </c>
      <c r="C262" s="3" t="s">
        <v>549</v>
      </c>
      <c r="D262" s="3" t="s">
        <v>22</v>
      </c>
      <c r="E262" s="3" t="s">
        <v>18</v>
      </c>
      <c r="F262" s="3" t="s">
        <v>32</v>
      </c>
      <c r="G262" s="3">
        <v>9</v>
      </c>
      <c r="H262" s="3">
        <v>15000</v>
      </c>
      <c r="I262" s="3">
        <v>0.08</v>
      </c>
      <c r="J262" s="3">
        <v>124200</v>
      </c>
      <c r="K262" s="3">
        <v>78246</v>
      </c>
      <c r="L262" s="3">
        <v>45954</v>
      </c>
    </row>
    <row r="263" spans="1:12" x14ac:dyDescent="0.35">
      <c r="A263" s="1" t="s">
        <v>550</v>
      </c>
      <c r="B263" s="4">
        <v>45827</v>
      </c>
      <c r="C263" s="1" t="s">
        <v>551</v>
      </c>
      <c r="D263" s="1" t="s">
        <v>22</v>
      </c>
      <c r="E263" s="1" t="s">
        <v>23</v>
      </c>
      <c r="F263" s="1" t="s">
        <v>28</v>
      </c>
      <c r="G263" s="1">
        <v>3</v>
      </c>
      <c r="H263" s="1">
        <v>18000</v>
      </c>
      <c r="I263" s="1">
        <v>0.02</v>
      </c>
      <c r="J263" s="1">
        <v>52920</v>
      </c>
      <c r="K263" s="1">
        <v>31752</v>
      </c>
      <c r="L263" s="1">
        <v>21168</v>
      </c>
    </row>
    <row r="264" spans="1:12" x14ac:dyDescent="0.35">
      <c r="A264" s="3" t="s">
        <v>552</v>
      </c>
      <c r="B264" s="2">
        <v>45792</v>
      </c>
      <c r="C264" s="3" t="s">
        <v>553</v>
      </c>
      <c r="D264" s="3" t="s">
        <v>31</v>
      </c>
      <c r="E264" s="3" t="s">
        <v>13</v>
      </c>
      <c r="F264" s="3" t="s">
        <v>24</v>
      </c>
      <c r="G264" s="3">
        <v>5</v>
      </c>
      <c r="H264" s="3">
        <v>2200</v>
      </c>
      <c r="I264" s="3">
        <v>0</v>
      </c>
      <c r="J264" s="3">
        <v>11000</v>
      </c>
      <c r="K264" s="3">
        <v>8250</v>
      </c>
      <c r="L264" s="3">
        <v>2750</v>
      </c>
    </row>
    <row r="265" spans="1:12" x14ac:dyDescent="0.35">
      <c r="A265" s="1" t="s">
        <v>554</v>
      </c>
      <c r="B265" s="4">
        <v>45857</v>
      </c>
      <c r="C265" s="1" t="s">
        <v>555</v>
      </c>
      <c r="D265" s="1" t="s">
        <v>17</v>
      </c>
      <c r="E265" s="1" t="s">
        <v>18</v>
      </c>
      <c r="F265" s="1" t="s">
        <v>39</v>
      </c>
      <c r="G265" s="1">
        <v>3</v>
      </c>
      <c r="H265" s="1">
        <v>250</v>
      </c>
      <c r="I265" s="1">
        <v>0.08</v>
      </c>
      <c r="J265" s="1">
        <v>690</v>
      </c>
      <c r="K265" s="1">
        <v>427.8</v>
      </c>
      <c r="L265" s="1">
        <v>262.2</v>
      </c>
    </row>
    <row r="266" spans="1:12" x14ac:dyDescent="0.35">
      <c r="A266" s="3" t="s">
        <v>556</v>
      </c>
      <c r="B266" s="2">
        <v>45815</v>
      </c>
      <c r="C266" s="3" t="s">
        <v>557</v>
      </c>
      <c r="D266" s="3" t="s">
        <v>22</v>
      </c>
      <c r="E266" s="3" t="s">
        <v>27</v>
      </c>
      <c r="F266" s="3" t="s">
        <v>44</v>
      </c>
      <c r="G266" s="3">
        <v>9</v>
      </c>
      <c r="H266" s="3">
        <v>12500</v>
      </c>
      <c r="I266" s="3">
        <v>0.15</v>
      </c>
      <c r="J266" s="3">
        <v>95625</v>
      </c>
      <c r="K266" s="3">
        <v>74587.5</v>
      </c>
      <c r="L266" s="3">
        <v>21037.5</v>
      </c>
    </row>
    <row r="267" spans="1:12" x14ac:dyDescent="0.35">
      <c r="A267" s="1" t="s">
        <v>558</v>
      </c>
      <c r="B267" s="4">
        <v>45919</v>
      </c>
      <c r="C267" s="1" t="s">
        <v>559</v>
      </c>
      <c r="D267" s="1" t="s">
        <v>22</v>
      </c>
      <c r="E267" s="1" t="s">
        <v>27</v>
      </c>
      <c r="F267" s="1" t="s">
        <v>81</v>
      </c>
      <c r="G267" s="1">
        <v>1</v>
      </c>
      <c r="H267" s="1">
        <v>9500</v>
      </c>
      <c r="I267" s="1">
        <v>0.1</v>
      </c>
      <c r="J267" s="1">
        <v>8550</v>
      </c>
      <c r="K267" s="1">
        <v>5899.5</v>
      </c>
      <c r="L267" s="1">
        <v>2650.5</v>
      </c>
    </row>
    <row r="268" spans="1:12" x14ac:dyDescent="0.35">
      <c r="A268" s="3" t="s">
        <v>560</v>
      </c>
      <c r="B268" s="2">
        <v>45766</v>
      </c>
      <c r="C268" s="3" t="s">
        <v>561</v>
      </c>
      <c r="D268" s="3" t="s">
        <v>31</v>
      </c>
      <c r="E268" s="3" t="s">
        <v>23</v>
      </c>
      <c r="F268" s="3" t="s">
        <v>51</v>
      </c>
      <c r="G268" s="3">
        <v>4</v>
      </c>
      <c r="H268" s="3">
        <v>4500</v>
      </c>
      <c r="I268" s="3">
        <v>0</v>
      </c>
      <c r="J268" s="3">
        <v>18000</v>
      </c>
      <c r="K268" s="3">
        <v>12600</v>
      </c>
      <c r="L268" s="3">
        <v>5400</v>
      </c>
    </row>
    <row r="269" spans="1:12" x14ac:dyDescent="0.35">
      <c r="A269" s="1" t="s">
        <v>562</v>
      </c>
      <c r="B269" s="4">
        <v>46017</v>
      </c>
      <c r="C269" s="1" t="s">
        <v>563</v>
      </c>
      <c r="D269" s="1" t="s">
        <v>17</v>
      </c>
      <c r="E269" s="1" t="s">
        <v>18</v>
      </c>
      <c r="F269" s="1" t="s">
        <v>19</v>
      </c>
      <c r="G269" s="1">
        <v>2</v>
      </c>
      <c r="H269" s="1">
        <v>1800</v>
      </c>
      <c r="I269" s="1">
        <v>0</v>
      </c>
      <c r="J269" s="1">
        <v>3600</v>
      </c>
      <c r="K269" s="1">
        <v>2664</v>
      </c>
      <c r="L269" s="1">
        <v>936</v>
      </c>
    </row>
    <row r="270" spans="1:12" x14ac:dyDescent="0.35">
      <c r="A270" s="3" t="s">
        <v>564</v>
      </c>
      <c r="B270" s="2">
        <v>46018</v>
      </c>
      <c r="C270" s="3" t="s">
        <v>565</v>
      </c>
      <c r="D270" s="3" t="s">
        <v>31</v>
      </c>
      <c r="E270" s="3" t="s">
        <v>13</v>
      </c>
      <c r="F270" s="3" t="s">
        <v>14</v>
      </c>
      <c r="G270" s="3">
        <v>1</v>
      </c>
      <c r="H270" s="3">
        <v>65000</v>
      </c>
      <c r="I270" s="3">
        <v>0.02</v>
      </c>
      <c r="J270" s="3">
        <v>63700</v>
      </c>
      <c r="K270" s="3">
        <v>49049</v>
      </c>
      <c r="L270" s="3">
        <v>14651</v>
      </c>
    </row>
    <row r="271" spans="1:12" x14ac:dyDescent="0.35">
      <c r="A271" s="1" t="s">
        <v>566</v>
      </c>
      <c r="B271" s="4">
        <v>45951</v>
      </c>
      <c r="C271" s="1" t="s">
        <v>567</v>
      </c>
      <c r="D271" s="1" t="s">
        <v>12</v>
      </c>
      <c r="E271" s="1" t="s">
        <v>13</v>
      </c>
      <c r="F271" s="1" t="s">
        <v>32</v>
      </c>
      <c r="G271" s="1">
        <v>2</v>
      </c>
      <c r="H271" s="1">
        <v>15000</v>
      </c>
      <c r="I271" s="1">
        <v>0</v>
      </c>
      <c r="J271" s="1">
        <v>30000</v>
      </c>
      <c r="K271" s="1">
        <v>19800</v>
      </c>
      <c r="L271" s="1">
        <v>10200</v>
      </c>
    </row>
    <row r="272" spans="1:12" x14ac:dyDescent="0.35">
      <c r="A272" s="3" t="s">
        <v>568</v>
      </c>
      <c r="B272" s="2">
        <v>45713</v>
      </c>
      <c r="C272" s="3" t="s">
        <v>569</v>
      </c>
      <c r="D272" s="3" t="s">
        <v>17</v>
      </c>
      <c r="E272" s="3" t="s">
        <v>13</v>
      </c>
      <c r="F272" s="3" t="s">
        <v>28</v>
      </c>
      <c r="G272" s="3">
        <v>7</v>
      </c>
      <c r="H272" s="3">
        <v>18000</v>
      </c>
      <c r="I272" s="3">
        <v>0.05</v>
      </c>
      <c r="J272" s="3">
        <v>119700</v>
      </c>
      <c r="K272" s="3">
        <v>82593</v>
      </c>
      <c r="L272" s="3">
        <v>37107</v>
      </c>
    </row>
    <row r="273" spans="1:12" x14ac:dyDescent="0.35">
      <c r="A273" s="1" t="s">
        <v>570</v>
      </c>
      <c r="B273" s="4">
        <v>45847</v>
      </c>
      <c r="C273" s="1" t="s">
        <v>571</v>
      </c>
      <c r="D273" s="1" t="s">
        <v>31</v>
      </c>
      <c r="E273" s="1" t="s">
        <v>13</v>
      </c>
      <c r="F273" s="1" t="s">
        <v>19</v>
      </c>
      <c r="G273" s="1">
        <v>7</v>
      </c>
      <c r="H273" s="1">
        <v>1800</v>
      </c>
      <c r="I273" s="1">
        <v>0.08</v>
      </c>
      <c r="J273" s="1">
        <v>11592</v>
      </c>
      <c r="K273" s="1">
        <v>8346.24</v>
      </c>
      <c r="L273" s="1">
        <v>3245.76</v>
      </c>
    </row>
    <row r="274" spans="1:12" x14ac:dyDescent="0.35">
      <c r="A274" s="3" t="s">
        <v>572</v>
      </c>
      <c r="B274" s="2">
        <v>45779</v>
      </c>
      <c r="C274" s="3" t="s">
        <v>573</v>
      </c>
      <c r="D274" s="3" t="s">
        <v>12</v>
      </c>
      <c r="E274" s="3" t="s">
        <v>18</v>
      </c>
      <c r="F274" s="3" t="s">
        <v>14</v>
      </c>
      <c r="G274" s="3">
        <v>3</v>
      </c>
      <c r="H274" s="3">
        <v>65000</v>
      </c>
      <c r="I274" s="3">
        <v>0.15</v>
      </c>
      <c r="J274" s="3">
        <v>165750</v>
      </c>
      <c r="K274" s="3">
        <v>130942.5</v>
      </c>
      <c r="L274" s="3">
        <v>34807.5</v>
      </c>
    </row>
    <row r="275" spans="1:12" x14ac:dyDescent="0.35">
      <c r="A275" s="1" t="s">
        <v>574</v>
      </c>
      <c r="B275" s="4">
        <v>45992</v>
      </c>
      <c r="C275" s="1" t="s">
        <v>575</v>
      </c>
      <c r="D275" s="1" t="s">
        <v>17</v>
      </c>
      <c r="E275" s="1" t="s">
        <v>23</v>
      </c>
      <c r="F275" s="1" t="s">
        <v>14</v>
      </c>
      <c r="G275" s="1">
        <v>1</v>
      </c>
      <c r="H275" s="1">
        <v>65000</v>
      </c>
      <c r="I275" s="1">
        <v>0.1</v>
      </c>
      <c r="J275" s="1">
        <v>58500</v>
      </c>
      <c r="K275" s="1">
        <v>42705</v>
      </c>
      <c r="L275" s="1">
        <v>15795</v>
      </c>
    </row>
    <row r="276" spans="1:12" x14ac:dyDescent="0.35">
      <c r="A276" s="3" t="s">
        <v>576</v>
      </c>
      <c r="B276" s="2">
        <v>45883</v>
      </c>
      <c r="C276" s="3" t="s">
        <v>577</v>
      </c>
      <c r="D276" s="3" t="s">
        <v>12</v>
      </c>
      <c r="E276" s="3" t="s">
        <v>23</v>
      </c>
      <c r="F276" s="3" t="s">
        <v>32</v>
      </c>
      <c r="G276" s="3">
        <v>10</v>
      </c>
      <c r="H276" s="3">
        <v>15000</v>
      </c>
      <c r="I276" s="3">
        <v>0.15</v>
      </c>
      <c r="J276" s="3">
        <v>127500</v>
      </c>
      <c r="K276" s="3">
        <v>89250</v>
      </c>
      <c r="L276" s="3">
        <v>38250</v>
      </c>
    </row>
    <row r="277" spans="1:12" x14ac:dyDescent="0.35">
      <c r="A277" s="1" t="s">
        <v>578</v>
      </c>
      <c r="B277" s="4">
        <v>45859</v>
      </c>
      <c r="C277" s="1" t="s">
        <v>579</v>
      </c>
      <c r="D277" s="1" t="s">
        <v>12</v>
      </c>
      <c r="E277" s="1" t="s">
        <v>13</v>
      </c>
      <c r="F277" s="1" t="s">
        <v>28</v>
      </c>
      <c r="G277" s="1">
        <v>3</v>
      </c>
      <c r="H277" s="1">
        <v>18000</v>
      </c>
      <c r="I277" s="1">
        <v>0.02</v>
      </c>
      <c r="J277" s="1">
        <v>52920</v>
      </c>
      <c r="K277" s="1">
        <v>32810.400000000001</v>
      </c>
      <c r="L277" s="1">
        <v>20109.599999999999</v>
      </c>
    </row>
    <row r="278" spans="1:12" x14ac:dyDescent="0.35">
      <c r="A278" s="3" t="s">
        <v>580</v>
      </c>
      <c r="B278" s="2">
        <v>45763</v>
      </c>
      <c r="C278" s="3" t="s">
        <v>581</v>
      </c>
      <c r="D278" s="3" t="s">
        <v>22</v>
      </c>
      <c r="E278" s="3" t="s">
        <v>18</v>
      </c>
      <c r="F278" s="3" t="s">
        <v>32</v>
      </c>
      <c r="G278" s="3">
        <v>2</v>
      </c>
      <c r="H278" s="3">
        <v>15000</v>
      </c>
      <c r="I278" s="3">
        <v>0</v>
      </c>
      <c r="J278" s="3">
        <v>30000</v>
      </c>
      <c r="K278" s="3">
        <v>19200</v>
      </c>
      <c r="L278" s="3">
        <v>10800</v>
      </c>
    </row>
    <row r="279" spans="1:12" x14ac:dyDescent="0.35">
      <c r="A279" s="1" t="s">
        <v>582</v>
      </c>
      <c r="B279" s="4">
        <v>45810</v>
      </c>
      <c r="C279" s="1" t="s">
        <v>583</v>
      </c>
      <c r="D279" s="1" t="s">
        <v>17</v>
      </c>
      <c r="E279" s="1" t="s">
        <v>13</v>
      </c>
      <c r="F279" s="1" t="s">
        <v>32</v>
      </c>
      <c r="G279" s="1">
        <v>10</v>
      </c>
      <c r="H279" s="1">
        <v>15000</v>
      </c>
      <c r="I279" s="1">
        <v>0.08</v>
      </c>
      <c r="J279" s="1">
        <v>138000</v>
      </c>
      <c r="K279" s="1">
        <v>84180</v>
      </c>
      <c r="L279" s="1">
        <v>53820</v>
      </c>
    </row>
    <row r="280" spans="1:12" x14ac:dyDescent="0.35">
      <c r="A280" s="3" t="s">
        <v>584</v>
      </c>
      <c r="B280" s="2">
        <v>45669</v>
      </c>
      <c r="C280" s="3" t="s">
        <v>585</v>
      </c>
      <c r="D280" s="3" t="s">
        <v>31</v>
      </c>
      <c r="E280" s="3" t="s">
        <v>23</v>
      </c>
      <c r="F280" s="3" t="s">
        <v>14</v>
      </c>
      <c r="G280" s="3">
        <v>7</v>
      </c>
      <c r="H280" s="3">
        <v>65000</v>
      </c>
      <c r="I280" s="3">
        <v>0.08</v>
      </c>
      <c r="J280" s="3">
        <v>418600</v>
      </c>
      <c r="K280" s="3">
        <v>297206</v>
      </c>
      <c r="L280" s="3">
        <v>121394</v>
      </c>
    </row>
    <row r="281" spans="1:12" x14ac:dyDescent="0.35">
      <c r="A281" s="1" t="s">
        <v>586</v>
      </c>
      <c r="B281" s="4">
        <v>45965</v>
      </c>
      <c r="C281" s="1" t="s">
        <v>587</v>
      </c>
      <c r="D281" s="1" t="s">
        <v>17</v>
      </c>
      <c r="E281" s="1" t="s">
        <v>13</v>
      </c>
      <c r="F281" s="1" t="s">
        <v>32</v>
      </c>
      <c r="G281" s="1">
        <v>4</v>
      </c>
      <c r="H281" s="1">
        <v>15000</v>
      </c>
      <c r="I281" s="1">
        <v>0.08</v>
      </c>
      <c r="J281" s="1">
        <v>55200</v>
      </c>
      <c r="K281" s="1">
        <v>34224</v>
      </c>
      <c r="L281" s="1">
        <v>20976</v>
      </c>
    </row>
    <row r="282" spans="1:12" x14ac:dyDescent="0.35">
      <c r="A282" s="3" t="s">
        <v>588</v>
      </c>
      <c r="B282" s="2">
        <v>45847</v>
      </c>
      <c r="C282" s="3" t="s">
        <v>589</v>
      </c>
      <c r="D282" s="3" t="s">
        <v>31</v>
      </c>
      <c r="E282" s="3" t="s">
        <v>18</v>
      </c>
      <c r="F282" s="3" t="s">
        <v>81</v>
      </c>
      <c r="G282" s="3">
        <v>9</v>
      </c>
      <c r="H282" s="3">
        <v>9500</v>
      </c>
      <c r="I282" s="3">
        <v>0</v>
      </c>
      <c r="J282" s="3">
        <v>85500</v>
      </c>
      <c r="K282" s="3">
        <v>64980</v>
      </c>
      <c r="L282" s="3">
        <v>20520</v>
      </c>
    </row>
    <row r="283" spans="1:12" x14ac:dyDescent="0.35">
      <c r="A283" s="1" t="s">
        <v>590</v>
      </c>
      <c r="B283" s="4">
        <v>45820</v>
      </c>
      <c r="C283" s="1" t="s">
        <v>591</v>
      </c>
      <c r="D283" s="1" t="s">
        <v>22</v>
      </c>
      <c r="E283" s="1" t="s">
        <v>18</v>
      </c>
      <c r="F283" s="1" t="s">
        <v>39</v>
      </c>
      <c r="G283" s="1">
        <v>6</v>
      </c>
      <c r="H283" s="1">
        <v>250</v>
      </c>
      <c r="I283" s="1">
        <v>0.1</v>
      </c>
      <c r="J283" s="1">
        <v>1350</v>
      </c>
      <c r="K283" s="1">
        <v>1053</v>
      </c>
      <c r="L283" s="1">
        <v>297</v>
      </c>
    </row>
    <row r="284" spans="1:12" x14ac:dyDescent="0.35">
      <c r="A284" s="3" t="s">
        <v>592</v>
      </c>
      <c r="B284" s="2">
        <v>45910</v>
      </c>
      <c r="C284" s="3" t="s">
        <v>593</v>
      </c>
      <c r="D284" s="3" t="s">
        <v>31</v>
      </c>
      <c r="E284" s="3" t="s">
        <v>27</v>
      </c>
      <c r="F284" s="3" t="s">
        <v>70</v>
      </c>
      <c r="G284" s="3">
        <v>1</v>
      </c>
      <c r="H284" s="3">
        <v>28000</v>
      </c>
      <c r="I284" s="3">
        <v>0.05</v>
      </c>
      <c r="J284" s="3">
        <v>26600</v>
      </c>
      <c r="K284" s="3">
        <v>19684</v>
      </c>
      <c r="L284" s="3">
        <v>6916</v>
      </c>
    </row>
    <row r="285" spans="1:12" x14ac:dyDescent="0.35">
      <c r="A285" s="1" t="s">
        <v>594</v>
      </c>
      <c r="B285" s="4">
        <v>45729</v>
      </c>
      <c r="C285" s="1" t="s">
        <v>595</v>
      </c>
      <c r="D285" s="1" t="s">
        <v>22</v>
      </c>
      <c r="E285" s="1" t="s">
        <v>23</v>
      </c>
      <c r="F285" s="1" t="s">
        <v>32</v>
      </c>
      <c r="G285" s="1">
        <v>8</v>
      </c>
      <c r="H285" s="1">
        <v>15000</v>
      </c>
      <c r="I285" s="1">
        <v>0.05</v>
      </c>
      <c r="J285" s="1">
        <v>114000</v>
      </c>
      <c r="K285" s="1">
        <v>79800</v>
      </c>
      <c r="L285" s="1">
        <v>34200</v>
      </c>
    </row>
    <row r="286" spans="1:12" x14ac:dyDescent="0.35">
      <c r="A286" s="3" t="s">
        <v>596</v>
      </c>
      <c r="B286" s="2">
        <v>45984</v>
      </c>
      <c r="C286" s="3" t="s">
        <v>597</v>
      </c>
      <c r="D286" s="3" t="s">
        <v>12</v>
      </c>
      <c r="E286" s="3" t="s">
        <v>23</v>
      </c>
      <c r="F286" s="3" t="s">
        <v>81</v>
      </c>
      <c r="G286" s="3">
        <v>2</v>
      </c>
      <c r="H286" s="3">
        <v>9500</v>
      </c>
      <c r="I286" s="3">
        <v>0.08</v>
      </c>
      <c r="J286" s="3">
        <v>17480</v>
      </c>
      <c r="K286" s="3">
        <v>11187.2</v>
      </c>
      <c r="L286" s="3">
        <v>6292.7999999999993</v>
      </c>
    </row>
    <row r="287" spans="1:12" x14ac:dyDescent="0.35">
      <c r="A287" s="1" t="s">
        <v>598</v>
      </c>
      <c r="B287" s="4">
        <v>45798</v>
      </c>
      <c r="C287" s="1" t="s">
        <v>599</v>
      </c>
      <c r="D287" s="1" t="s">
        <v>22</v>
      </c>
      <c r="E287" s="1" t="s">
        <v>18</v>
      </c>
      <c r="F287" s="1" t="s">
        <v>39</v>
      </c>
      <c r="G287" s="1">
        <v>7</v>
      </c>
      <c r="H287" s="1">
        <v>250</v>
      </c>
      <c r="I287" s="1">
        <v>0.05</v>
      </c>
      <c r="J287" s="1">
        <v>1662.5</v>
      </c>
      <c r="K287" s="1">
        <v>1263.5</v>
      </c>
      <c r="L287" s="1">
        <v>399</v>
      </c>
    </row>
    <row r="288" spans="1:12" x14ac:dyDescent="0.35">
      <c r="A288" s="3" t="s">
        <v>600</v>
      </c>
      <c r="B288" s="2">
        <v>45982</v>
      </c>
      <c r="C288" s="3" t="s">
        <v>601</v>
      </c>
      <c r="D288" s="3" t="s">
        <v>22</v>
      </c>
      <c r="E288" s="3" t="s">
        <v>13</v>
      </c>
      <c r="F288" s="3" t="s">
        <v>19</v>
      </c>
      <c r="G288" s="3">
        <v>4</v>
      </c>
      <c r="H288" s="3">
        <v>1800</v>
      </c>
      <c r="I288" s="3">
        <v>0.15</v>
      </c>
      <c r="J288" s="3">
        <v>6120</v>
      </c>
      <c r="K288" s="3">
        <v>4100.3999999999996</v>
      </c>
      <c r="L288" s="3">
        <v>2019.6000000000004</v>
      </c>
    </row>
    <row r="289" spans="1:12" x14ac:dyDescent="0.35">
      <c r="A289" s="1" t="s">
        <v>602</v>
      </c>
      <c r="B289" s="4">
        <v>45684</v>
      </c>
      <c r="C289" s="1" t="s">
        <v>603</v>
      </c>
      <c r="D289" s="1" t="s">
        <v>31</v>
      </c>
      <c r="E289" s="1" t="s">
        <v>27</v>
      </c>
      <c r="F289" s="1" t="s">
        <v>28</v>
      </c>
      <c r="G289" s="1">
        <v>2</v>
      </c>
      <c r="H289" s="1">
        <v>18000</v>
      </c>
      <c r="I289" s="1">
        <v>0</v>
      </c>
      <c r="J289" s="1">
        <v>36000</v>
      </c>
      <c r="K289" s="1">
        <v>21960</v>
      </c>
      <c r="L289" s="1">
        <v>14040</v>
      </c>
    </row>
    <row r="290" spans="1:12" x14ac:dyDescent="0.35">
      <c r="A290" s="3" t="s">
        <v>604</v>
      </c>
      <c r="B290" s="2">
        <v>45798</v>
      </c>
      <c r="C290" s="3" t="s">
        <v>605</v>
      </c>
      <c r="D290" s="3" t="s">
        <v>31</v>
      </c>
      <c r="E290" s="3" t="s">
        <v>23</v>
      </c>
      <c r="F290" s="3" t="s">
        <v>19</v>
      </c>
      <c r="G290" s="3">
        <v>6</v>
      </c>
      <c r="H290" s="3">
        <v>1800</v>
      </c>
      <c r="I290" s="3">
        <v>0.02</v>
      </c>
      <c r="J290" s="3">
        <v>10584</v>
      </c>
      <c r="K290" s="3">
        <v>7726.32</v>
      </c>
      <c r="L290" s="3">
        <v>2857.6800000000003</v>
      </c>
    </row>
    <row r="291" spans="1:12" x14ac:dyDescent="0.35">
      <c r="A291" s="1" t="s">
        <v>606</v>
      </c>
      <c r="B291" s="4">
        <v>45824</v>
      </c>
      <c r="C291" s="1" t="s">
        <v>607</v>
      </c>
      <c r="D291" s="1" t="s">
        <v>31</v>
      </c>
      <c r="E291" s="1" t="s">
        <v>18</v>
      </c>
      <c r="F291" s="1" t="s">
        <v>51</v>
      </c>
      <c r="G291" s="1">
        <v>5</v>
      </c>
      <c r="H291" s="1">
        <v>4500</v>
      </c>
      <c r="I291" s="1">
        <v>0.08</v>
      </c>
      <c r="J291" s="1">
        <v>20700</v>
      </c>
      <c r="K291" s="1">
        <v>13248</v>
      </c>
      <c r="L291" s="1">
        <v>7452</v>
      </c>
    </row>
    <row r="292" spans="1:12" x14ac:dyDescent="0.35">
      <c r="A292" s="3" t="s">
        <v>608</v>
      </c>
      <c r="B292" s="2">
        <v>45917</v>
      </c>
      <c r="C292" s="3" t="s">
        <v>609</v>
      </c>
      <c r="D292" s="3" t="s">
        <v>17</v>
      </c>
      <c r="E292" s="3" t="s">
        <v>27</v>
      </c>
      <c r="F292" s="3" t="s">
        <v>44</v>
      </c>
      <c r="G292" s="3">
        <v>2</v>
      </c>
      <c r="H292" s="3">
        <v>12500</v>
      </c>
      <c r="I292" s="3">
        <v>0.1</v>
      </c>
      <c r="J292" s="3">
        <v>22500</v>
      </c>
      <c r="K292" s="3">
        <v>14850</v>
      </c>
      <c r="L292" s="3">
        <v>7650</v>
      </c>
    </row>
    <row r="293" spans="1:12" x14ac:dyDescent="0.35">
      <c r="A293" s="1" t="s">
        <v>610</v>
      </c>
      <c r="B293" s="4">
        <v>45911</v>
      </c>
      <c r="C293" s="1" t="s">
        <v>611</v>
      </c>
      <c r="D293" s="1" t="s">
        <v>17</v>
      </c>
      <c r="E293" s="1" t="s">
        <v>27</v>
      </c>
      <c r="F293" s="1" t="s">
        <v>32</v>
      </c>
      <c r="G293" s="1">
        <v>3</v>
      </c>
      <c r="H293" s="1">
        <v>15000</v>
      </c>
      <c r="I293" s="1">
        <v>0.08</v>
      </c>
      <c r="J293" s="1">
        <v>41400</v>
      </c>
      <c r="K293" s="1">
        <v>28152</v>
      </c>
      <c r="L293" s="1">
        <v>13248</v>
      </c>
    </row>
    <row r="294" spans="1:12" x14ac:dyDescent="0.35">
      <c r="A294" s="3" t="s">
        <v>612</v>
      </c>
      <c r="B294" s="2">
        <v>45912</v>
      </c>
      <c r="C294" s="3" t="s">
        <v>613</v>
      </c>
      <c r="D294" s="3" t="s">
        <v>12</v>
      </c>
      <c r="E294" s="3" t="s">
        <v>13</v>
      </c>
      <c r="F294" s="3" t="s">
        <v>14</v>
      </c>
      <c r="G294" s="3">
        <v>5</v>
      </c>
      <c r="H294" s="3">
        <v>65000</v>
      </c>
      <c r="I294" s="3">
        <v>0.1</v>
      </c>
      <c r="J294" s="3">
        <v>292500</v>
      </c>
      <c r="K294" s="3">
        <v>193050</v>
      </c>
      <c r="L294" s="3">
        <v>99450</v>
      </c>
    </row>
    <row r="295" spans="1:12" x14ac:dyDescent="0.35">
      <c r="A295" s="1" t="s">
        <v>614</v>
      </c>
      <c r="B295" s="4">
        <v>45736</v>
      </c>
      <c r="C295" s="1" t="s">
        <v>615</v>
      </c>
      <c r="D295" s="1" t="s">
        <v>31</v>
      </c>
      <c r="E295" s="1" t="s">
        <v>23</v>
      </c>
      <c r="F295" s="1" t="s">
        <v>14</v>
      </c>
      <c r="G295" s="1">
        <v>6</v>
      </c>
      <c r="H295" s="1">
        <v>65000</v>
      </c>
      <c r="I295" s="1">
        <v>0.1</v>
      </c>
      <c r="J295" s="1">
        <v>351000</v>
      </c>
      <c r="K295" s="1">
        <v>235170</v>
      </c>
      <c r="L295" s="1">
        <v>115830</v>
      </c>
    </row>
    <row r="296" spans="1:12" x14ac:dyDescent="0.35">
      <c r="A296" s="3" t="s">
        <v>616</v>
      </c>
      <c r="B296" s="2">
        <v>45955</v>
      </c>
      <c r="C296" s="3" t="s">
        <v>617</v>
      </c>
      <c r="D296" s="3" t="s">
        <v>12</v>
      </c>
      <c r="E296" s="3" t="s">
        <v>23</v>
      </c>
      <c r="F296" s="3" t="s">
        <v>44</v>
      </c>
      <c r="G296" s="3">
        <v>5</v>
      </c>
      <c r="H296" s="3">
        <v>12500</v>
      </c>
      <c r="I296" s="3">
        <v>0.08</v>
      </c>
      <c r="J296" s="3">
        <v>57500</v>
      </c>
      <c r="K296" s="3">
        <v>36800</v>
      </c>
      <c r="L296" s="3">
        <v>20700</v>
      </c>
    </row>
    <row r="297" spans="1:12" x14ac:dyDescent="0.35">
      <c r="A297" s="1" t="s">
        <v>618</v>
      </c>
      <c r="B297" s="4">
        <v>45915</v>
      </c>
      <c r="C297" s="1" t="s">
        <v>619</v>
      </c>
      <c r="D297" s="1" t="s">
        <v>31</v>
      </c>
      <c r="E297" s="1" t="s">
        <v>27</v>
      </c>
      <c r="F297" s="1" t="s">
        <v>14</v>
      </c>
      <c r="G297" s="1">
        <v>5</v>
      </c>
      <c r="H297" s="1">
        <v>65000</v>
      </c>
      <c r="I297" s="1">
        <v>0.02</v>
      </c>
      <c r="J297" s="1">
        <v>318500</v>
      </c>
      <c r="K297" s="1">
        <v>191100</v>
      </c>
      <c r="L297" s="1">
        <v>127400</v>
      </c>
    </row>
    <row r="298" spans="1:12" x14ac:dyDescent="0.35">
      <c r="A298" s="3" t="s">
        <v>620</v>
      </c>
      <c r="B298" s="2">
        <v>45708</v>
      </c>
      <c r="C298" s="3" t="s">
        <v>621</v>
      </c>
      <c r="D298" s="3" t="s">
        <v>22</v>
      </c>
      <c r="E298" s="3" t="s">
        <v>27</v>
      </c>
      <c r="F298" s="3" t="s">
        <v>28</v>
      </c>
      <c r="G298" s="3">
        <v>2</v>
      </c>
      <c r="H298" s="3">
        <v>18000</v>
      </c>
      <c r="I298" s="3">
        <v>0.1</v>
      </c>
      <c r="J298" s="3">
        <v>32400</v>
      </c>
      <c r="K298" s="3">
        <v>22032</v>
      </c>
      <c r="L298" s="3">
        <v>10368</v>
      </c>
    </row>
    <row r="299" spans="1:12" x14ac:dyDescent="0.35">
      <c r="A299" s="1" t="s">
        <v>622</v>
      </c>
      <c r="B299" s="4">
        <v>46005</v>
      </c>
      <c r="C299" s="1" t="s">
        <v>623</v>
      </c>
      <c r="D299" s="1" t="s">
        <v>12</v>
      </c>
      <c r="E299" s="1" t="s">
        <v>27</v>
      </c>
      <c r="F299" s="1" t="s">
        <v>24</v>
      </c>
      <c r="G299" s="1">
        <v>7</v>
      </c>
      <c r="H299" s="1">
        <v>2200</v>
      </c>
      <c r="I299" s="1">
        <v>0.08</v>
      </c>
      <c r="J299" s="1">
        <v>14168</v>
      </c>
      <c r="K299" s="1">
        <v>11192.72</v>
      </c>
      <c r="L299" s="1">
        <v>2975.2800000000007</v>
      </c>
    </row>
    <row r="300" spans="1:12" x14ac:dyDescent="0.35">
      <c r="A300" s="3" t="s">
        <v>624</v>
      </c>
      <c r="B300" s="2">
        <v>45852</v>
      </c>
      <c r="C300" s="3" t="s">
        <v>625</v>
      </c>
      <c r="D300" s="3" t="s">
        <v>31</v>
      </c>
      <c r="E300" s="3" t="s">
        <v>13</v>
      </c>
      <c r="F300" s="3" t="s">
        <v>24</v>
      </c>
      <c r="G300" s="3">
        <v>4</v>
      </c>
      <c r="H300" s="3">
        <v>2200</v>
      </c>
      <c r="I300" s="3">
        <v>0.1</v>
      </c>
      <c r="J300" s="3">
        <v>7920</v>
      </c>
      <c r="K300" s="3">
        <v>5623.2</v>
      </c>
      <c r="L300" s="3">
        <v>2296.8000000000002</v>
      </c>
    </row>
    <row r="301" spans="1:12" x14ac:dyDescent="0.35">
      <c r="A301" s="1" t="s">
        <v>626</v>
      </c>
      <c r="B301" s="4">
        <v>45666</v>
      </c>
      <c r="C301" s="1" t="s">
        <v>627</v>
      </c>
      <c r="D301" s="1" t="s">
        <v>12</v>
      </c>
      <c r="E301" s="1" t="s">
        <v>23</v>
      </c>
      <c r="F301" s="1" t="s">
        <v>70</v>
      </c>
      <c r="G301" s="1">
        <v>9</v>
      </c>
      <c r="H301" s="1">
        <v>28000</v>
      </c>
      <c r="I301" s="1">
        <v>0</v>
      </c>
      <c r="J301" s="1">
        <v>252000</v>
      </c>
      <c r="K301" s="1">
        <v>194040</v>
      </c>
      <c r="L301" s="1">
        <v>57960</v>
      </c>
    </row>
    <row r="302" spans="1:12" x14ac:dyDescent="0.35">
      <c r="A302" s="3" t="s">
        <v>628</v>
      </c>
      <c r="B302" s="2">
        <v>45822</v>
      </c>
      <c r="C302" s="3" t="s">
        <v>629</v>
      </c>
      <c r="D302" s="3" t="s">
        <v>31</v>
      </c>
      <c r="E302" s="3" t="s">
        <v>13</v>
      </c>
      <c r="F302" s="3" t="s">
        <v>24</v>
      </c>
      <c r="G302" s="3">
        <v>4</v>
      </c>
      <c r="H302" s="3">
        <v>2200</v>
      </c>
      <c r="I302" s="3">
        <v>0.1</v>
      </c>
      <c r="J302" s="3">
        <v>7920</v>
      </c>
      <c r="K302" s="3">
        <v>6098.4</v>
      </c>
      <c r="L302" s="3">
        <v>1821.6000000000004</v>
      </c>
    </row>
    <row r="303" spans="1:12" x14ac:dyDescent="0.35">
      <c r="A303" s="1" t="s">
        <v>630</v>
      </c>
      <c r="B303" s="4">
        <v>45748</v>
      </c>
      <c r="C303" s="1" t="s">
        <v>631</v>
      </c>
      <c r="D303" s="1" t="s">
        <v>31</v>
      </c>
      <c r="E303" s="1" t="s">
        <v>23</v>
      </c>
      <c r="F303" s="1" t="s">
        <v>19</v>
      </c>
      <c r="G303" s="1">
        <v>5</v>
      </c>
      <c r="H303" s="1">
        <v>1800</v>
      </c>
      <c r="I303" s="1">
        <v>0.02</v>
      </c>
      <c r="J303" s="1">
        <v>8820</v>
      </c>
      <c r="K303" s="1">
        <v>5468.4</v>
      </c>
      <c r="L303" s="1">
        <v>3351.6000000000004</v>
      </c>
    </row>
    <row r="304" spans="1:12" x14ac:dyDescent="0.35">
      <c r="A304" s="3" t="s">
        <v>632</v>
      </c>
      <c r="B304" s="2">
        <v>45679</v>
      </c>
      <c r="C304" s="3" t="s">
        <v>633</v>
      </c>
      <c r="D304" s="3" t="s">
        <v>12</v>
      </c>
      <c r="E304" s="3" t="s">
        <v>23</v>
      </c>
      <c r="F304" s="3" t="s">
        <v>32</v>
      </c>
      <c r="G304" s="3">
        <v>9</v>
      </c>
      <c r="H304" s="3">
        <v>15000</v>
      </c>
      <c r="I304" s="3">
        <v>0.15</v>
      </c>
      <c r="J304" s="3">
        <v>114750</v>
      </c>
      <c r="K304" s="3">
        <v>82620</v>
      </c>
      <c r="L304" s="3">
        <v>32130</v>
      </c>
    </row>
    <row r="305" spans="1:12" x14ac:dyDescent="0.35">
      <c r="A305" s="1" t="s">
        <v>634</v>
      </c>
      <c r="B305" s="4">
        <v>45698</v>
      </c>
      <c r="C305" s="1" t="s">
        <v>635</v>
      </c>
      <c r="D305" s="1" t="s">
        <v>31</v>
      </c>
      <c r="E305" s="1" t="s">
        <v>18</v>
      </c>
      <c r="F305" s="1" t="s">
        <v>28</v>
      </c>
      <c r="G305" s="1">
        <v>3</v>
      </c>
      <c r="H305" s="1">
        <v>18000</v>
      </c>
      <c r="I305" s="1">
        <v>0.15</v>
      </c>
      <c r="J305" s="1">
        <v>45900</v>
      </c>
      <c r="K305" s="1">
        <v>30294</v>
      </c>
      <c r="L305" s="1">
        <v>15606</v>
      </c>
    </row>
    <row r="306" spans="1:12" x14ac:dyDescent="0.35">
      <c r="A306" s="3" t="s">
        <v>636</v>
      </c>
      <c r="B306" s="2">
        <v>45826</v>
      </c>
      <c r="C306" s="3" t="s">
        <v>637</v>
      </c>
      <c r="D306" s="3" t="s">
        <v>17</v>
      </c>
      <c r="E306" s="3" t="s">
        <v>13</v>
      </c>
      <c r="F306" s="3" t="s">
        <v>14</v>
      </c>
      <c r="G306" s="3">
        <v>10</v>
      </c>
      <c r="H306" s="3">
        <v>65000</v>
      </c>
      <c r="I306" s="3">
        <v>0.02</v>
      </c>
      <c r="J306" s="3">
        <v>637000</v>
      </c>
      <c r="K306" s="3">
        <v>388570</v>
      </c>
      <c r="L306" s="3">
        <v>248430</v>
      </c>
    </row>
    <row r="307" spans="1:12" x14ac:dyDescent="0.35">
      <c r="A307" s="1" t="s">
        <v>638</v>
      </c>
      <c r="B307" s="4">
        <v>46012</v>
      </c>
      <c r="C307" s="1" t="s">
        <v>639</v>
      </c>
      <c r="D307" s="1" t="s">
        <v>22</v>
      </c>
      <c r="E307" s="1" t="s">
        <v>18</v>
      </c>
      <c r="F307" s="1" t="s">
        <v>70</v>
      </c>
      <c r="G307" s="1">
        <v>10</v>
      </c>
      <c r="H307" s="1">
        <v>28000</v>
      </c>
      <c r="I307" s="1">
        <v>0.08</v>
      </c>
      <c r="J307" s="1">
        <v>257600</v>
      </c>
      <c r="K307" s="1">
        <v>162288</v>
      </c>
      <c r="L307" s="1">
        <v>95312</v>
      </c>
    </row>
    <row r="308" spans="1:12" x14ac:dyDescent="0.35">
      <c r="A308" s="3" t="s">
        <v>640</v>
      </c>
      <c r="B308" s="2">
        <v>45910</v>
      </c>
      <c r="C308" s="3" t="s">
        <v>641</v>
      </c>
      <c r="D308" s="3" t="s">
        <v>12</v>
      </c>
      <c r="E308" s="3" t="s">
        <v>18</v>
      </c>
      <c r="F308" s="3" t="s">
        <v>14</v>
      </c>
      <c r="G308" s="3">
        <v>2</v>
      </c>
      <c r="H308" s="3">
        <v>65000</v>
      </c>
      <c r="I308" s="3">
        <v>0.05</v>
      </c>
      <c r="J308" s="3">
        <v>123500</v>
      </c>
      <c r="K308" s="3">
        <v>96330</v>
      </c>
      <c r="L308" s="3">
        <v>27170</v>
      </c>
    </row>
    <row r="309" spans="1:12" x14ac:dyDescent="0.35">
      <c r="A309" s="1" t="s">
        <v>642</v>
      </c>
      <c r="B309" s="4">
        <v>45799</v>
      </c>
      <c r="C309" s="1" t="s">
        <v>643</v>
      </c>
      <c r="D309" s="1" t="s">
        <v>22</v>
      </c>
      <c r="E309" s="1" t="s">
        <v>27</v>
      </c>
      <c r="F309" s="1" t="s">
        <v>70</v>
      </c>
      <c r="G309" s="1">
        <v>9</v>
      </c>
      <c r="H309" s="1">
        <v>28000</v>
      </c>
      <c r="I309" s="1">
        <v>0.15</v>
      </c>
      <c r="J309" s="1">
        <v>214200</v>
      </c>
      <c r="K309" s="1">
        <v>128520</v>
      </c>
      <c r="L309" s="1">
        <v>85680</v>
      </c>
    </row>
    <row r="310" spans="1:12" x14ac:dyDescent="0.35">
      <c r="A310" s="3" t="s">
        <v>644</v>
      </c>
      <c r="B310" s="2">
        <v>45881</v>
      </c>
      <c r="C310" s="3" t="s">
        <v>645</v>
      </c>
      <c r="D310" s="3" t="s">
        <v>22</v>
      </c>
      <c r="E310" s="3" t="s">
        <v>27</v>
      </c>
      <c r="F310" s="3" t="s">
        <v>81</v>
      </c>
      <c r="G310" s="3">
        <v>2</v>
      </c>
      <c r="H310" s="3">
        <v>9500</v>
      </c>
      <c r="I310" s="3">
        <v>0</v>
      </c>
      <c r="J310" s="3">
        <v>19000</v>
      </c>
      <c r="K310" s="3">
        <v>11400</v>
      </c>
      <c r="L310" s="3">
        <v>7600</v>
      </c>
    </row>
    <row r="311" spans="1:12" x14ac:dyDescent="0.35">
      <c r="A311" s="1" t="s">
        <v>646</v>
      </c>
      <c r="B311" s="4">
        <v>46012</v>
      </c>
      <c r="C311" s="1" t="s">
        <v>647</v>
      </c>
      <c r="D311" s="1" t="s">
        <v>12</v>
      </c>
      <c r="E311" s="1" t="s">
        <v>23</v>
      </c>
      <c r="F311" s="1" t="s">
        <v>44</v>
      </c>
      <c r="G311" s="1">
        <v>1</v>
      </c>
      <c r="H311" s="1">
        <v>12500</v>
      </c>
      <c r="I311" s="1">
        <v>0.05</v>
      </c>
      <c r="J311" s="1">
        <v>11875</v>
      </c>
      <c r="K311" s="1">
        <v>7243.75</v>
      </c>
      <c r="L311" s="1">
        <v>4631.25</v>
      </c>
    </row>
    <row r="312" spans="1:12" x14ac:dyDescent="0.35">
      <c r="A312" s="3" t="s">
        <v>648</v>
      </c>
      <c r="B312" s="2">
        <v>45858</v>
      </c>
      <c r="C312" s="3" t="s">
        <v>649</v>
      </c>
      <c r="D312" s="3" t="s">
        <v>22</v>
      </c>
      <c r="E312" s="3" t="s">
        <v>27</v>
      </c>
      <c r="F312" s="3" t="s">
        <v>44</v>
      </c>
      <c r="G312" s="3">
        <v>4</v>
      </c>
      <c r="H312" s="3">
        <v>12500</v>
      </c>
      <c r="I312" s="3">
        <v>0</v>
      </c>
      <c r="J312" s="3">
        <v>50000</v>
      </c>
      <c r="K312" s="3">
        <v>32000</v>
      </c>
      <c r="L312" s="3">
        <v>18000</v>
      </c>
    </row>
    <row r="313" spans="1:12" x14ac:dyDescent="0.35">
      <c r="A313" s="1" t="s">
        <v>650</v>
      </c>
      <c r="B313" s="4">
        <v>45770</v>
      </c>
      <c r="C313" s="1" t="s">
        <v>651</v>
      </c>
      <c r="D313" s="1" t="s">
        <v>22</v>
      </c>
      <c r="E313" s="1" t="s">
        <v>13</v>
      </c>
      <c r="F313" s="1" t="s">
        <v>28</v>
      </c>
      <c r="G313" s="1">
        <v>5</v>
      </c>
      <c r="H313" s="1">
        <v>18000</v>
      </c>
      <c r="I313" s="1">
        <v>0</v>
      </c>
      <c r="J313" s="1">
        <v>90000</v>
      </c>
      <c r="K313" s="1">
        <v>57600</v>
      </c>
      <c r="L313" s="1">
        <v>32400</v>
      </c>
    </row>
    <row r="314" spans="1:12" x14ac:dyDescent="0.35">
      <c r="A314" s="3" t="s">
        <v>652</v>
      </c>
      <c r="B314" s="2">
        <v>45757</v>
      </c>
      <c r="C314" s="3" t="s">
        <v>653</v>
      </c>
      <c r="D314" s="3" t="s">
        <v>12</v>
      </c>
      <c r="E314" s="3" t="s">
        <v>18</v>
      </c>
      <c r="F314" s="3" t="s">
        <v>32</v>
      </c>
      <c r="G314" s="3">
        <v>1</v>
      </c>
      <c r="H314" s="3">
        <v>15000</v>
      </c>
      <c r="I314" s="3">
        <v>0.05</v>
      </c>
      <c r="J314" s="3">
        <v>14250</v>
      </c>
      <c r="K314" s="3">
        <v>9547.5</v>
      </c>
      <c r="L314" s="3">
        <v>4702.5</v>
      </c>
    </row>
    <row r="315" spans="1:12" x14ac:dyDescent="0.35">
      <c r="A315" s="1" t="s">
        <v>654</v>
      </c>
      <c r="B315" s="4">
        <v>45721</v>
      </c>
      <c r="C315" s="1" t="s">
        <v>655</v>
      </c>
      <c r="D315" s="1" t="s">
        <v>17</v>
      </c>
      <c r="E315" s="1" t="s">
        <v>23</v>
      </c>
      <c r="F315" s="1" t="s">
        <v>19</v>
      </c>
      <c r="G315" s="1">
        <v>4</v>
      </c>
      <c r="H315" s="1">
        <v>1800</v>
      </c>
      <c r="I315" s="1">
        <v>0</v>
      </c>
      <c r="J315" s="1">
        <v>7200</v>
      </c>
      <c r="K315" s="1">
        <v>5688</v>
      </c>
      <c r="L315" s="1">
        <v>1512</v>
      </c>
    </row>
    <row r="316" spans="1:12" x14ac:dyDescent="0.35">
      <c r="A316" s="3" t="s">
        <v>656</v>
      </c>
      <c r="B316" s="2">
        <v>45702</v>
      </c>
      <c r="C316" s="3" t="s">
        <v>657</v>
      </c>
      <c r="D316" s="3" t="s">
        <v>22</v>
      </c>
      <c r="E316" s="3" t="s">
        <v>18</v>
      </c>
      <c r="F316" s="3" t="s">
        <v>32</v>
      </c>
      <c r="G316" s="3">
        <v>9</v>
      </c>
      <c r="H316" s="3">
        <v>15000</v>
      </c>
      <c r="I316" s="3">
        <v>0.02</v>
      </c>
      <c r="J316" s="3">
        <v>132300</v>
      </c>
      <c r="K316" s="3">
        <v>89964</v>
      </c>
      <c r="L316" s="3">
        <v>42336</v>
      </c>
    </row>
    <row r="317" spans="1:12" x14ac:dyDescent="0.35">
      <c r="A317" s="1" t="s">
        <v>658</v>
      </c>
      <c r="B317" s="4">
        <v>45675</v>
      </c>
      <c r="C317" s="1" t="s">
        <v>659</v>
      </c>
      <c r="D317" s="1" t="s">
        <v>17</v>
      </c>
      <c r="E317" s="1" t="s">
        <v>18</v>
      </c>
      <c r="F317" s="1" t="s">
        <v>28</v>
      </c>
      <c r="G317" s="1">
        <v>6</v>
      </c>
      <c r="H317" s="1">
        <v>18000</v>
      </c>
      <c r="I317" s="1">
        <v>0.05</v>
      </c>
      <c r="J317" s="1">
        <v>102600</v>
      </c>
      <c r="K317" s="1">
        <v>77976</v>
      </c>
      <c r="L317" s="1">
        <v>24624</v>
      </c>
    </row>
    <row r="318" spans="1:12" x14ac:dyDescent="0.35">
      <c r="A318" s="3" t="s">
        <v>660</v>
      </c>
      <c r="B318" s="2">
        <v>45992</v>
      </c>
      <c r="C318" s="3" t="s">
        <v>661</v>
      </c>
      <c r="D318" s="3" t="s">
        <v>17</v>
      </c>
      <c r="E318" s="3" t="s">
        <v>13</v>
      </c>
      <c r="F318" s="3" t="s">
        <v>28</v>
      </c>
      <c r="G318" s="3">
        <v>2</v>
      </c>
      <c r="H318" s="3">
        <v>18000</v>
      </c>
      <c r="I318" s="3">
        <v>0.02</v>
      </c>
      <c r="J318" s="3">
        <v>35280</v>
      </c>
      <c r="K318" s="3">
        <v>22226.400000000001</v>
      </c>
      <c r="L318" s="3">
        <v>13053.599999999999</v>
      </c>
    </row>
    <row r="319" spans="1:12" x14ac:dyDescent="0.35">
      <c r="A319" s="1" t="s">
        <v>662</v>
      </c>
      <c r="B319" s="4">
        <v>45800</v>
      </c>
      <c r="C319" s="1" t="s">
        <v>663</v>
      </c>
      <c r="D319" s="1" t="s">
        <v>17</v>
      </c>
      <c r="E319" s="1" t="s">
        <v>18</v>
      </c>
      <c r="F319" s="1" t="s">
        <v>19</v>
      </c>
      <c r="G319" s="1">
        <v>7</v>
      </c>
      <c r="H319" s="1">
        <v>1800</v>
      </c>
      <c r="I319" s="1">
        <v>0</v>
      </c>
      <c r="J319" s="1">
        <v>12600</v>
      </c>
      <c r="K319" s="1">
        <v>8946</v>
      </c>
      <c r="L319" s="1">
        <v>3654</v>
      </c>
    </row>
    <row r="320" spans="1:12" x14ac:dyDescent="0.35">
      <c r="A320" s="3" t="s">
        <v>664</v>
      </c>
      <c r="B320" s="2">
        <v>45764</v>
      </c>
      <c r="C320" s="3" t="s">
        <v>665</v>
      </c>
      <c r="D320" s="3" t="s">
        <v>22</v>
      </c>
      <c r="E320" s="3" t="s">
        <v>23</v>
      </c>
      <c r="F320" s="3" t="s">
        <v>32</v>
      </c>
      <c r="G320" s="3">
        <v>10</v>
      </c>
      <c r="H320" s="3">
        <v>15000</v>
      </c>
      <c r="I320" s="3">
        <v>0.02</v>
      </c>
      <c r="J320" s="3">
        <v>147000</v>
      </c>
      <c r="K320" s="3">
        <v>94080</v>
      </c>
      <c r="L320" s="3">
        <v>52920</v>
      </c>
    </row>
    <row r="321" spans="1:12" x14ac:dyDescent="0.35">
      <c r="A321" s="1" t="s">
        <v>666</v>
      </c>
      <c r="B321" s="4">
        <v>45679</v>
      </c>
      <c r="C321" s="1" t="s">
        <v>667</v>
      </c>
      <c r="D321" s="1" t="s">
        <v>22</v>
      </c>
      <c r="E321" s="1" t="s">
        <v>23</v>
      </c>
      <c r="F321" s="1" t="s">
        <v>39</v>
      </c>
      <c r="G321" s="1">
        <v>10</v>
      </c>
      <c r="H321" s="1">
        <v>250</v>
      </c>
      <c r="I321" s="1">
        <v>0.02</v>
      </c>
      <c r="J321" s="1">
        <v>2450</v>
      </c>
      <c r="K321" s="1">
        <v>1960</v>
      </c>
      <c r="L321" s="1">
        <v>490</v>
      </c>
    </row>
    <row r="322" spans="1:12" x14ac:dyDescent="0.35">
      <c r="A322" s="3" t="s">
        <v>668</v>
      </c>
      <c r="B322" s="2">
        <v>45855</v>
      </c>
      <c r="C322" s="3" t="s">
        <v>669</v>
      </c>
      <c r="D322" s="3" t="s">
        <v>17</v>
      </c>
      <c r="E322" s="3" t="s">
        <v>13</v>
      </c>
      <c r="F322" s="3" t="s">
        <v>28</v>
      </c>
      <c r="G322" s="3">
        <v>8</v>
      </c>
      <c r="H322" s="3">
        <v>18000</v>
      </c>
      <c r="I322" s="3">
        <v>0.08</v>
      </c>
      <c r="J322" s="3">
        <v>132480</v>
      </c>
      <c r="K322" s="3">
        <v>105984</v>
      </c>
      <c r="L322" s="3">
        <v>26496</v>
      </c>
    </row>
    <row r="323" spans="1:12" x14ac:dyDescent="0.35">
      <c r="A323" s="1" t="s">
        <v>670</v>
      </c>
      <c r="B323" s="4">
        <v>45721</v>
      </c>
      <c r="C323" s="1" t="s">
        <v>671</v>
      </c>
      <c r="D323" s="1" t="s">
        <v>12</v>
      </c>
      <c r="E323" s="1" t="s">
        <v>27</v>
      </c>
      <c r="F323" s="1" t="s">
        <v>44</v>
      </c>
      <c r="G323" s="1">
        <v>3</v>
      </c>
      <c r="H323" s="1">
        <v>12500</v>
      </c>
      <c r="I323" s="1">
        <v>0.1</v>
      </c>
      <c r="J323" s="1">
        <v>33750</v>
      </c>
      <c r="K323" s="1">
        <v>23962.5</v>
      </c>
      <c r="L323" s="1">
        <v>9787.5</v>
      </c>
    </row>
    <row r="324" spans="1:12" x14ac:dyDescent="0.35">
      <c r="A324" s="3" t="s">
        <v>672</v>
      </c>
      <c r="B324" s="2">
        <v>45754</v>
      </c>
      <c r="C324" s="3" t="s">
        <v>673</v>
      </c>
      <c r="D324" s="3" t="s">
        <v>17</v>
      </c>
      <c r="E324" s="3" t="s">
        <v>13</v>
      </c>
      <c r="F324" s="3" t="s">
        <v>39</v>
      </c>
      <c r="G324" s="3">
        <v>7</v>
      </c>
      <c r="H324" s="3">
        <v>250</v>
      </c>
      <c r="I324" s="3">
        <v>0.1</v>
      </c>
      <c r="J324" s="3">
        <v>1575</v>
      </c>
      <c r="K324" s="3">
        <v>1055.25</v>
      </c>
      <c r="L324" s="3">
        <v>519.75</v>
      </c>
    </row>
    <row r="325" spans="1:12" x14ac:dyDescent="0.35">
      <c r="A325" s="1" t="s">
        <v>674</v>
      </c>
      <c r="B325" s="4">
        <v>45926</v>
      </c>
      <c r="C325" s="1" t="s">
        <v>675</v>
      </c>
      <c r="D325" s="1" t="s">
        <v>17</v>
      </c>
      <c r="E325" s="1" t="s">
        <v>27</v>
      </c>
      <c r="F325" s="1" t="s">
        <v>81</v>
      </c>
      <c r="G325" s="1">
        <v>9</v>
      </c>
      <c r="H325" s="1">
        <v>9500</v>
      </c>
      <c r="I325" s="1">
        <v>0</v>
      </c>
      <c r="J325" s="1">
        <v>85500</v>
      </c>
      <c r="K325" s="1">
        <v>56430</v>
      </c>
      <c r="L325" s="1">
        <v>29070</v>
      </c>
    </row>
    <row r="326" spans="1:12" x14ac:dyDescent="0.35">
      <c r="A326" s="3" t="s">
        <v>676</v>
      </c>
      <c r="B326" s="2">
        <v>45802</v>
      </c>
      <c r="C326" s="3" t="s">
        <v>677</v>
      </c>
      <c r="D326" s="3" t="s">
        <v>22</v>
      </c>
      <c r="E326" s="3" t="s">
        <v>27</v>
      </c>
      <c r="F326" s="3" t="s">
        <v>51</v>
      </c>
      <c r="G326" s="3">
        <v>4</v>
      </c>
      <c r="H326" s="3">
        <v>4500</v>
      </c>
      <c r="I326" s="3">
        <v>0.02</v>
      </c>
      <c r="J326" s="3">
        <v>17640</v>
      </c>
      <c r="K326" s="3">
        <v>12877.2</v>
      </c>
      <c r="L326" s="3">
        <v>4762.7999999999993</v>
      </c>
    </row>
    <row r="327" spans="1:12" x14ac:dyDescent="0.35">
      <c r="A327" s="1" t="s">
        <v>678</v>
      </c>
      <c r="B327" s="4">
        <v>45888</v>
      </c>
      <c r="C327" s="1" t="s">
        <v>679</v>
      </c>
      <c r="D327" s="1" t="s">
        <v>17</v>
      </c>
      <c r="E327" s="1" t="s">
        <v>13</v>
      </c>
      <c r="F327" s="1" t="s">
        <v>32</v>
      </c>
      <c r="G327" s="1">
        <v>1</v>
      </c>
      <c r="H327" s="1">
        <v>15000</v>
      </c>
      <c r="I327" s="1">
        <v>0.05</v>
      </c>
      <c r="J327" s="1">
        <v>14250</v>
      </c>
      <c r="K327" s="1">
        <v>8835</v>
      </c>
      <c r="L327" s="1">
        <v>5415</v>
      </c>
    </row>
    <row r="328" spans="1:12" x14ac:dyDescent="0.35">
      <c r="A328" s="3" t="s">
        <v>680</v>
      </c>
      <c r="B328" s="2">
        <v>45902</v>
      </c>
      <c r="C328" s="3" t="s">
        <v>681</v>
      </c>
      <c r="D328" s="3" t="s">
        <v>17</v>
      </c>
      <c r="E328" s="3" t="s">
        <v>18</v>
      </c>
      <c r="F328" s="3" t="s">
        <v>32</v>
      </c>
      <c r="G328" s="3">
        <v>1</v>
      </c>
      <c r="H328" s="3">
        <v>15000</v>
      </c>
      <c r="I328" s="3">
        <v>0</v>
      </c>
      <c r="J328" s="3">
        <v>15000</v>
      </c>
      <c r="K328" s="3">
        <v>9450</v>
      </c>
      <c r="L328" s="3">
        <v>5550</v>
      </c>
    </row>
    <row r="329" spans="1:12" x14ac:dyDescent="0.35">
      <c r="A329" s="1" t="s">
        <v>682</v>
      </c>
      <c r="B329" s="4">
        <v>45970</v>
      </c>
      <c r="C329" s="1" t="s">
        <v>683</v>
      </c>
      <c r="D329" s="1" t="s">
        <v>22</v>
      </c>
      <c r="E329" s="1" t="s">
        <v>18</v>
      </c>
      <c r="F329" s="1" t="s">
        <v>51</v>
      </c>
      <c r="G329" s="1">
        <v>10</v>
      </c>
      <c r="H329" s="1">
        <v>4500</v>
      </c>
      <c r="I329" s="1">
        <v>0.02</v>
      </c>
      <c r="J329" s="1">
        <v>44100</v>
      </c>
      <c r="K329" s="1">
        <v>33516</v>
      </c>
      <c r="L329" s="1">
        <v>10584</v>
      </c>
    </row>
    <row r="330" spans="1:12" x14ac:dyDescent="0.35">
      <c r="A330" s="3" t="s">
        <v>684</v>
      </c>
      <c r="B330" s="2">
        <v>45812</v>
      </c>
      <c r="C330" s="3" t="s">
        <v>685</v>
      </c>
      <c r="D330" s="3" t="s">
        <v>17</v>
      </c>
      <c r="E330" s="3" t="s">
        <v>27</v>
      </c>
      <c r="F330" s="3" t="s">
        <v>51</v>
      </c>
      <c r="G330" s="3">
        <v>5</v>
      </c>
      <c r="H330" s="3">
        <v>4500</v>
      </c>
      <c r="I330" s="3">
        <v>0.08</v>
      </c>
      <c r="J330" s="3">
        <v>20700</v>
      </c>
      <c r="K330" s="3">
        <v>13041</v>
      </c>
      <c r="L330" s="3">
        <v>7659</v>
      </c>
    </row>
    <row r="331" spans="1:12" x14ac:dyDescent="0.35">
      <c r="A331" s="1" t="s">
        <v>686</v>
      </c>
      <c r="B331" s="4">
        <v>46002</v>
      </c>
      <c r="C331" s="1" t="s">
        <v>687</v>
      </c>
      <c r="D331" s="1" t="s">
        <v>12</v>
      </c>
      <c r="E331" s="1" t="s">
        <v>18</v>
      </c>
      <c r="F331" s="1" t="s">
        <v>81</v>
      </c>
      <c r="G331" s="1">
        <v>9</v>
      </c>
      <c r="H331" s="1">
        <v>9500</v>
      </c>
      <c r="I331" s="1">
        <v>0.02</v>
      </c>
      <c r="J331" s="1">
        <v>83790</v>
      </c>
      <c r="K331" s="1">
        <v>50274</v>
      </c>
      <c r="L331" s="1">
        <v>33516</v>
      </c>
    </row>
    <row r="332" spans="1:12" x14ac:dyDescent="0.35">
      <c r="A332" s="3" t="s">
        <v>688</v>
      </c>
      <c r="B332" s="2">
        <v>45680</v>
      </c>
      <c r="C332" s="3" t="s">
        <v>689</v>
      </c>
      <c r="D332" s="3" t="s">
        <v>31</v>
      </c>
      <c r="E332" s="3" t="s">
        <v>23</v>
      </c>
      <c r="F332" s="3" t="s">
        <v>44</v>
      </c>
      <c r="G332" s="3">
        <v>1</v>
      </c>
      <c r="H332" s="3">
        <v>12500</v>
      </c>
      <c r="I332" s="3">
        <v>0.1</v>
      </c>
      <c r="J332" s="3">
        <v>11250</v>
      </c>
      <c r="K332" s="3">
        <v>7087.5</v>
      </c>
      <c r="L332" s="3">
        <v>4162.5</v>
      </c>
    </row>
    <row r="333" spans="1:12" x14ac:dyDescent="0.35">
      <c r="A333" s="1" t="s">
        <v>690</v>
      </c>
      <c r="B333" s="4">
        <v>45963</v>
      </c>
      <c r="C333" s="1" t="s">
        <v>691</v>
      </c>
      <c r="D333" s="1" t="s">
        <v>12</v>
      </c>
      <c r="E333" s="1" t="s">
        <v>23</v>
      </c>
      <c r="F333" s="1" t="s">
        <v>24</v>
      </c>
      <c r="G333" s="1">
        <v>7</v>
      </c>
      <c r="H333" s="1">
        <v>2200</v>
      </c>
      <c r="I333" s="1">
        <v>0.05</v>
      </c>
      <c r="J333" s="1">
        <v>14630</v>
      </c>
      <c r="K333" s="1">
        <v>10387.299999999999</v>
      </c>
      <c r="L333" s="1">
        <v>4242.7000000000007</v>
      </c>
    </row>
    <row r="334" spans="1:12" x14ac:dyDescent="0.35">
      <c r="A334" s="3" t="s">
        <v>692</v>
      </c>
      <c r="B334" s="2">
        <v>45802</v>
      </c>
      <c r="C334" s="3" t="s">
        <v>693</v>
      </c>
      <c r="D334" s="3" t="s">
        <v>12</v>
      </c>
      <c r="E334" s="3" t="s">
        <v>13</v>
      </c>
      <c r="F334" s="3" t="s">
        <v>19</v>
      </c>
      <c r="G334" s="3">
        <v>4</v>
      </c>
      <c r="H334" s="3">
        <v>1800</v>
      </c>
      <c r="I334" s="3">
        <v>0</v>
      </c>
      <c r="J334" s="3">
        <v>7200</v>
      </c>
      <c r="K334" s="3">
        <v>4824</v>
      </c>
      <c r="L334" s="3">
        <v>2376</v>
      </c>
    </row>
    <row r="335" spans="1:12" x14ac:dyDescent="0.35">
      <c r="A335" s="1" t="s">
        <v>694</v>
      </c>
      <c r="B335" s="4">
        <v>46016</v>
      </c>
      <c r="C335" s="1" t="s">
        <v>695</v>
      </c>
      <c r="D335" s="1" t="s">
        <v>31</v>
      </c>
      <c r="E335" s="1" t="s">
        <v>18</v>
      </c>
      <c r="F335" s="1" t="s">
        <v>32</v>
      </c>
      <c r="G335" s="1">
        <v>4</v>
      </c>
      <c r="H335" s="1">
        <v>15000</v>
      </c>
      <c r="I335" s="1">
        <v>0</v>
      </c>
      <c r="J335" s="1">
        <v>60000</v>
      </c>
      <c r="K335" s="1">
        <v>37800</v>
      </c>
      <c r="L335" s="1">
        <v>22200</v>
      </c>
    </row>
    <row r="336" spans="1:12" x14ac:dyDescent="0.35">
      <c r="A336" s="3" t="s">
        <v>696</v>
      </c>
      <c r="B336" s="2">
        <v>45813</v>
      </c>
      <c r="C336" s="3" t="s">
        <v>697</v>
      </c>
      <c r="D336" s="3" t="s">
        <v>17</v>
      </c>
      <c r="E336" s="3" t="s">
        <v>13</v>
      </c>
      <c r="F336" s="3" t="s">
        <v>19</v>
      </c>
      <c r="G336" s="3">
        <v>7</v>
      </c>
      <c r="H336" s="3">
        <v>1800</v>
      </c>
      <c r="I336" s="3">
        <v>0.1</v>
      </c>
      <c r="J336" s="3">
        <v>11340</v>
      </c>
      <c r="K336" s="3">
        <v>8731.7999999999993</v>
      </c>
      <c r="L336" s="3">
        <v>2608.2000000000007</v>
      </c>
    </row>
    <row r="337" spans="1:12" x14ac:dyDescent="0.35">
      <c r="A337" s="1" t="s">
        <v>698</v>
      </c>
      <c r="B337" s="4">
        <v>45721</v>
      </c>
      <c r="C337" s="1" t="s">
        <v>699</v>
      </c>
      <c r="D337" s="1" t="s">
        <v>17</v>
      </c>
      <c r="E337" s="1" t="s">
        <v>23</v>
      </c>
      <c r="F337" s="1" t="s">
        <v>81</v>
      </c>
      <c r="G337" s="1">
        <v>4</v>
      </c>
      <c r="H337" s="1">
        <v>9500</v>
      </c>
      <c r="I337" s="1">
        <v>0.05</v>
      </c>
      <c r="J337" s="1">
        <v>36100</v>
      </c>
      <c r="K337" s="1">
        <v>23465</v>
      </c>
      <c r="L337" s="1">
        <v>12635</v>
      </c>
    </row>
    <row r="338" spans="1:12" x14ac:dyDescent="0.35">
      <c r="A338" s="3" t="s">
        <v>700</v>
      </c>
      <c r="B338" s="2">
        <v>45785</v>
      </c>
      <c r="C338" s="3" t="s">
        <v>701</v>
      </c>
      <c r="D338" s="3" t="s">
        <v>22</v>
      </c>
      <c r="E338" s="3" t="s">
        <v>18</v>
      </c>
      <c r="F338" s="3" t="s">
        <v>19</v>
      </c>
      <c r="G338" s="3">
        <v>6</v>
      </c>
      <c r="H338" s="3">
        <v>1800</v>
      </c>
      <c r="I338" s="3">
        <v>0.15</v>
      </c>
      <c r="J338" s="3">
        <v>9180</v>
      </c>
      <c r="K338" s="3">
        <v>6150.6</v>
      </c>
      <c r="L338" s="3">
        <v>3029.3999999999996</v>
      </c>
    </row>
    <row r="339" spans="1:12" x14ac:dyDescent="0.35">
      <c r="A339" s="1" t="s">
        <v>702</v>
      </c>
      <c r="B339" s="4">
        <v>45725</v>
      </c>
      <c r="C339" s="1" t="s">
        <v>703</v>
      </c>
      <c r="D339" s="1" t="s">
        <v>22</v>
      </c>
      <c r="E339" s="1" t="s">
        <v>18</v>
      </c>
      <c r="F339" s="1" t="s">
        <v>44</v>
      </c>
      <c r="G339" s="1">
        <v>3</v>
      </c>
      <c r="H339" s="1">
        <v>12500</v>
      </c>
      <c r="I339" s="1">
        <v>0.1</v>
      </c>
      <c r="J339" s="1">
        <v>33750</v>
      </c>
      <c r="K339" s="1">
        <v>21262.5</v>
      </c>
      <c r="L339" s="1">
        <v>12487.5</v>
      </c>
    </row>
    <row r="340" spans="1:12" x14ac:dyDescent="0.35">
      <c r="A340" s="3" t="s">
        <v>704</v>
      </c>
      <c r="B340" s="2">
        <v>45723</v>
      </c>
      <c r="C340" s="3" t="s">
        <v>705</v>
      </c>
      <c r="D340" s="3" t="s">
        <v>22</v>
      </c>
      <c r="E340" s="3" t="s">
        <v>27</v>
      </c>
      <c r="F340" s="3" t="s">
        <v>81</v>
      </c>
      <c r="G340" s="3">
        <v>10</v>
      </c>
      <c r="H340" s="3">
        <v>9500</v>
      </c>
      <c r="I340" s="3">
        <v>0.05</v>
      </c>
      <c r="J340" s="3">
        <v>90250</v>
      </c>
      <c r="K340" s="3">
        <v>59565</v>
      </c>
      <c r="L340" s="3">
        <v>30685</v>
      </c>
    </row>
    <row r="341" spans="1:12" x14ac:dyDescent="0.35">
      <c r="A341" s="1" t="s">
        <v>706</v>
      </c>
      <c r="B341" s="4">
        <v>45714</v>
      </c>
      <c r="C341" s="1" t="s">
        <v>707</v>
      </c>
      <c r="D341" s="1" t="s">
        <v>31</v>
      </c>
      <c r="E341" s="1" t="s">
        <v>18</v>
      </c>
      <c r="F341" s="1" t="s">
        <v>39</v>
      </c>
      <c r="G341" s="1">
        <v>6</v>
      </c>
      <c r="H341" s="1">
        <v>250</v>
      </c>
      <c r="I341" s="1">
        <v>0.02</v>
      </c>
      <c r="J341" s="1">
        <v>1470</v>
      </c>
      <c r="K341" s="1">
        <v>1058.4000000000001</v>
      </c>
      <c r="L341" s="1">
        <v>411.59999999999991</v>
      </c>
    </row>
    <row r="342" spans="1:12" x14ac:dyDescent="0.35">
      <c r="A342" s="3" t="s">
        <v>708</v>
      </c>
      <c r="B342" s="2">
        <v>45711</v>
      </c>
      <c r="C342" s="3" t="s">
        <v>709</v>
      </c>
      <c r="D342" s="3" t="s">
        <v>22</v>
      </c>
      <c r="E342" s="3" t="s">
        <v>23</v>
      </c>
      <c r="F342" s="3" t="s">
        <v>51</v>
      </c>
      <c r="G342" s="3">
        <v>8</v>
      </c>
      <c r="H342" s="3">
        <v>4500</v>
      </c>
      <c r="I342" s="3">
        <v>0.1</v>
      </c>
      <c r="J342" s="3">
        <v>32400</v>
      </c>
      <c r="K342" s="3">
        <v>21060</v>
      </c>
      <c r="L342" s="3">
        <v>11340</v>
      </c>
    </row>
    <row r="343" spans="1:12" x14ac:dyDescent="0.35">
      <c r="A343" s="1" t="s">
        <v>710</v>
      </c>
      <c r="B343" s="4">
        <v>45770</v>
      </c>
      <c r="C343" s="1" t="s">
        <v>711</v>
      </c>
      <c r="D343" s="1" t="s">
        <v>17</v>
      </c>
      <c r="E343" s="1" t="s">
        <v>27</v>
      </c>
      <c r="F343" s="1" t="s">
        <v>44</v>
      </c>
      <c r="G343" s="1">
        <v>6</v>
      </c>
      <c r="H343" s="1">
        <v>12500</v>
      </c>
      <c r="I343" s="1">
        <v>0.05</v>
      </c>
      <c r="J343" s="1">
        <v>71250</v>
      </c>
      <c r="K343" s="1">
        <v>52012.5</v>
      </c>
      <c r="L343" s="1">
        <v>19237.5</v>
      </c>
    </row>
    <row r="344" spans="1:12" x14ac:dyDescent="0.35">
      <c r="A344" s="3" t="s">
        <v>712</v>
      </c>
      <c r="B344" s="2">
        <v>45691</v>
      </c>
      <c r="C344" s="3" t="s">
        <v>713</v>
      </c>
      <c r="D344" s="3" t="s">
        <v>22</v>
      </c>
      <c r="E344" s="3" t="s">
        <v>27</v>
      </c>
      <c r="F344" s="3" t="s">
        <v>28</v>
      </c>
      <c r="G344" s="3">
        <v>1</v>
      </c>
      <c r="H344" s="3">
        <v>18000</v>
      </c>
      <c r="I344" s="3">
        <v>0.15</v>
      </c>
      <c r="J344" s="3">
        <v>15300</v>
      </c>
      <c r="K344" s="3">
        <v>10710</v>
      </c>
      <c r="L344" s="3">
        <v>4590</v>
      </c>
    </row>
    <row r="345" spans="1:12" x14ac:dyDescent="0.35">
      <c r="A345" s="1" t="s">
        <v>714</v>
      </c>
      <c r="B345" s="4">
        <v>45813</v>
      </c>
      <c r="C345" s="1" t="s">
        <v>715</v>
      </c>
      <c r="D345" s="1" t="s">
        <v>31</v>
      </c>
      <c r="E345" s="1" t="s">
        <v>18</v>
      </c>
      <c r="F345" s="1" t="s">
        <v>14</v>
      </c>
      <c r="G345" s="1">
        <v>8</v>
      </c>
      <c r="H345" s="1">
        <v>65000</v>
      </c>
      <c r="I345" s="1">
        <v>0.1</v>
      </c>
      <c r="J345" s="1">
        <v>468000</v>
      </c>
      <c r="K345" s="1">
        <v>313560</v>
      </c>
      <c r="L345" s="1">
        <v>154440</v>
      </c>
    </row>
    <row r="346" spans="1:12" x14ac:dyDescent="0.35">
      <c r="A346" s="3" t="s">
        <v>716</v>
      </c>
      <c r="B346" s="2">
        <v>45720</v>
      </c>
      <c r="C346" s="3" t="s">
        <v>717</v>
      </c>
      <c r="D346" s="3" t="s">
        <v>31</v>
      </c>
      <c r="E346" s="3" t="s">
        <v>18</v>
      </c>
      <c r="F346" s="3" t="s">
        <v>28</v>
      </c>
      <c r="G346" s="3">
        <v>10</v>
      </c>
      <c r="H346" s="3">
        <v>18000</v>
      </c>
      <c r="I346" s="3">
        <v>0.15</v>
      </c>
      <c r="J346" s="3">
        <v>153000</v>
      </c>
      <c r="K346" s="3">
        <v>104040</v>
      </c>
      <c r="L346" s="3">
        <v>48960</v>
      </c>
    </row>
    <row r="347" spans="1:12" x14ac:dyDescent="0.35">
      <c r="A347" s="1" t="s">
        <v>718</v>
      </c>
      <c r="B347" s="4">
        <v>45970</v>
      </c>
      <c r="C347" s="1" t="s">
        <v>719</v>
      </c>
      <c r="D347" s="1" t="s">
        <v>31</v>
      </c>
      <c r="E347" s="1" t="s">
        <v>27</v>
      </c>
      <c r="F347" s="1" t="s">
        <v>44</v>
      </c>
      <c r="G347" s="1">
        <v>6</v>
      </c>
      <c r="H347" s="1">
        <v>12500</v>
      </c>
      <c r="I347" s="1">
        <v>0.08</v>
      </c>
      <c r="J347" s="1">
        <v>69000</v>
      </c>
      <c r="K347" s="1">
        <v>48990</v>
      </c>
      <c r="L347" s="1">
        <v>20010</v>
      </c>
    </row>
    <row r="348" spans="1:12" x14ac:dyDescent="0.35">
      <c r="A348" s="3" t="s">
        <v>720</v>
      </c>
      <c r="B348" s="2">
        <v>45712</v>
      </c>
      <c r="C348" s="3" t="s">
        <v>721</v>
      </c>
      <c r="D348" s="3" t="s">
        <v>17</v>
      </c>
      <c r="E348" s="3" t="s">
        <v>18</v>
      </c>
      <c r="F348" s="3" t="s">
        <v>81</v>
      </c>
      <c r="G348" s="3">
        <v>9</v>
      </c>
      <c r="H348" s="3">
        <v>9500</v>
      </c>
      <c r="I348" s="3">
        <v>0.08</v>
      </c>
      <c r="J348" s="3">
        <v>78660</v>
      </c>
      <c r="K348" s="3">
        <v>62141.4</v>
      </c>
      <c r="L348" s="3">
        <v>16518.599999999999</v>
      </c>
    </row>
    <row r="349" spans="1:12" x14ac:dyDescent="0.35">
      <c r="A349" s="1" t="s">
        <v>722</v>
      </c>
      <c r="B349" s="4">
        <v>45841</v>
      </c>
      <c r="C349" s="1" t="s">
        <v>723</v>
      </c>
      <c r="D349" s="1" t="s">
        <v>31</v>
      </c>
      <c r="E349" s="1" t="s">
        <v>23</v>
      </c>
      <c r="F349" s="1" t="s">
        <v>14</v>
      </c>
      <c r="G349" s="1">
        <v>2</v>
      </c>
      <c r="H349" s="1">
        <v>65000</v>
      </c>
      <c r="I349" s="1">
        <v>0.15</v>
      </c>
      <c r="J349" s="1">
        <v>110500</v>
      </c>
      <c r="K349" s="1">
        <v>67405</v>
      </c>
      <c r="L349" s="1">
        <v>43095</v>
      </c>
    </row>
    <row r="350" spans="1:12" x14ac:dyDescent="0.35">
      <c r="A350" s="3" t="s">
        <v>724</v>
      </c>
      <c r="B350" s="2">
        <v>46009</v>
      </c>
      <c r="C350" s="3" t="s">
        <v>725</v>
      </c>
      <c r="D350" s="3" t="s">
        <v>22</v>
      </c>
      <c r="E350" s="3" t="s">
        <v>13</v>
      </c>
      <c r="F350" s="3" t="s">
        <v>14</v>
      </c>
      <c r="G350" s="3">
        <v>2</v>
      </c>
      <c r="H350" s="3">
        <v>65000</v>
      </c>
      <c r="I350" s="3">
        <v>0.05</v>
      </c>
      <c r="J350" s="3">
        <v>123500</v>
      </c>
      <c r="K350" s="3">
        <v>83980</v>
      </c>
      <c r="L350" s="3">
        <v>39520</v>
      </c>
    </row>
    <row r="351" spans="1:12" x14ac:dyDescent="0.35">
      <c r="A351" s="1" t="s">
        <v>726</v>
      </c>
      <c r="B351" s="4">
        <v>45877</v>
      </c>
      <c r="C351" s="1" t="s">
        <v>727</v>
      </c>
      <c r="D351" s="1" t="s">
        <v>31</v>
      </c>
      <c r="E351" s="1" t="s">
        <v>13</v>
      </c>
      <c r="F351" s="1" t="s">
        <v>44</v>
      </c>
      <c r="G351" s="1">
        <v>2</v>
      </c>
      <c r="H351" s="1">
        <v>12500</v>
      </c>
      <c r="I351" s="1">
        <v>0.05</v>
      </c>
      <c r="J351" s="1">
        <v>23750</v>
      </c>
      <c r="K351" s="1">
        <v>15200</v>
      </c>
      <c r="L351" s="1">
        <v>8550</v>
      </c>
    </row>
    <row r="352" spans="1:12" x14ac:dyDescent="0.35">
      <c r="A352" s="3" t="s">
        <v>728</v>
      </c>
      <c r="B352" s="2">
        <v>45936</v>
      </c>
      <c r="C352" s="3" t="s">
        <v>729</v>
      </c>
      <c r="D352" s="3" t="s">
        <v>31</v>
      </c>
      <c r="E352" s="3" t="s">
        <v>23</v>
      </c>
      <c r="F352" s="3" t="s">
        <v>70</v>
      </c>
      <c r="G352" s="3">
        <v>2</v>
      </c>
      <c r="H352" s="3">
        <v>28000</v>
      </c>
      <c r="I352" s="3">
        <v>0.02</v>
      </c>
      <c r="J352" s="3">
        <v>54880</v>
      </c>
      <c r="K352" s="3">
        <v>40611.199999999997</v>
      </c>
      <c r="L352" s="3">
        <v>14268.800000000003</v>
      </c>
    </row>
    <row r="353" spans="1:12" x14ac:dyDescent="0.35">
      <c r="A353" s="1" t="s">
        <v>730</v>
      </c>
      <c r="B353" s="4">
        <v>45888</v>
      </c>
      <c r="C353" s="1" t="s">
        <v>731</v>
      </c>
      <c r="D353" s="1" t="s">
        <v>12</v>
      </c>
      <c r="E353" s="1" t="s">
        <v>13</v>
      </c>
      <c r="F353" s="1" t="s">
        <v>14</v>
      </c>
      <c r="G353" s="1">
        <v>5</v>
      </c>
      <c r="H353" s="1">
        <v>65000</v>
      </c>
      <c r="I353" s="1">
        <v>0.08</v>
      </c>
      <c r="J353" s="1">
        <v>299000</v>
      </c>
      <c r="K353" s="1">
        <v>179400</v>
      </c>
      <c r="L353" s="1">
        <v>119600</v>
      </c>
    </row>
    <row r="354" spans="1:12" x14ac:dyDescent="0.35">
      <c r="A354" s="3" t="s">
        <v>732</v>
      </c>
      <c r="B354" s="2">
        <v>46016</v>
      </c>
      <c r="C354" s="3" t="s">
        <v>733</v>
      </c>
      <c r="D354" s="3" t="s">
        <v>17</v>
      </c>
      <c r="E354" s="3" t="s">
        <v>27</v>
      </c>
      <c r="F354" s="3" t="s">
        <v>14</v>
      </c>
      <c r="G354" s="3">
        <v>7</v>
      </c>
      <c r="H354" s="3">
        <v>65000</v>
      </c>
      <c r="I354" s="3">
        <v>0.05</v>
      </c>
      <c r="J354" s="3">
        <v>432250</v>
      </c>
      <c r="K354" s="3">
        <v>280962.5</v>
      </c>
      <c r="L354" s="3">
        <v>151287.5</v>
      </c>
    </row>
    <row r="355" spans="1:12" x14ac:dyDescent="0.35">
      <c r="A355" s="1" t="s">
        <v>734</v>
      </c>
      <c r="B355" s="4">
        <v>45888</v>
      </c>
      <c r="C355" s="1" t="s">
        <v>735</v>
      </c>
      <c r="D355" s="1" t="s">
        <v>12</v>
      </c>
      <c r="E355" s="1" t="s">
        <v>27</v>
      </c>
      <c r="F355" s="1" t="s">
        <v>19</v>
      </c>
      <c r="G355" s="1">
        <v>6</v>
      </c>
      <c r="H355" s="1">
        <v>1800</v>
      </c>
      <c r="I355" s="1">
        <v>0.02</v>
      </c>
      <c r="J355" s="1">
        <v>10584</v>
      </c>
      <c r="K355" s="1">
        <v>7408.8</v>
      </c>
      <c r="L355" s="1">
        <v>3175.2</v>
      </c>
    </row>
    <row r="356" spans="1:12" x14ac:dyDescent="0.35">
      <c r="A356" s="3" t="s">
        <v>736</v>
      </c>
      <c r="B356" s="2">
        <v>45913</v>
      </c>
      <c r="C356" s="3" t="s">
        <v>737</v>
      </c>
      <c r="D356" s="3" t="s">
        <v>17</v>
      </c>
      <c r="E356" s="3" t="s">
        <v>13</v>
      </c>
      <c r="F356" s="3" t="s">
        <v>14</v>
      </c>
      <c r="G356" s="3">
        <v>10</v>
      </c>
      <c r="H356" s="3">
        <v>65000</v>
      </c>
      <c r="I356" s="3">
        <v>0</v>
      </c>
      <c r="J356" s="3">
        <v>650000</v>
      </c>
      <c r="K356" s="3">
        <v>409500</v>
      </c>
      <c r="L356" s="3">
        <v>240500</v>
      </c>
    </row>
    <row r="357" spans="1:12" x14ac:dyDescent="0.35">
      <c r="A357" s="1" t="s">
        <v>738</v>
      </c>
      <c r="B357" s="4">
        <v>45940</v>
      </c>
      <c r="C357" s="1" t="s">
        <v>739</v>
      </c>
      <c r="D357" s="1" t="s">
        <v>22</v>
      </c>
      <c r="E357" s="1" t="s">
        <v>18</v>
      </c>
      <c r="F357" s="1" t="s">
        <v>70</v>
      </c>
      <c r="G357" s="1">
        <v>1</v>
      </c>
      <c r="H357" s="1">
        <v>28000</v>
      </c>
      <c r="I357" s="1">
        <v>0.15</v>
      </c>
      <c r="J357" s="1">
        <v>23800</v>
      </c>
      <c r="K357" s="1">
        <v>15946</v>
      </c>
      <c r="L357" s="1">
        <v>7854</v>
      </c>
    </row>
    <row r="358" spans="1:12" x14ac:dyDescent="0.35">
      <c r="A358" s="3" t="s">
        <v>740</v>
      </c>
      <c r="B358" s="2">
        <v>45770</v>
      </c>
      <c r="C358" s="3" t="s">
        <v>741</v>
      </c>
      <c r="D358" s="3" t="s">
        <v>22</v>
      </c>
      <c r="E358" s="3" t="s">
        <v>13</v>
      </c>
      <c r="F358" s="3" t="s">
        <v>39</v>
      </c>
      <c r="G358" s="3">
        <v>6</v>
      </c>
      <c r="H358" s="3">
        <v>250</v>
      </c>
      <c r="I358" s="3">
        <v>0.15</v>
      </c>
      <c r="J358" s="3">
        <v>1275</v>
      </c>
      <c r="K358" s="3">
        <v>841.5</v>
      </c>
      <c r="L358" s="3">
        <v>433.5</v>
      </c>
    </row>
    <row r="359" spans="1:12" x14ac:dyDescent="0.35">
      <c r="A359" s="1" t="s">
        <v>742</v>
      </c>
      <c r="B359" s="4">
        <v>45757</v>
      </c>
      <c r="C359" s="1" t="s">
        <v>743</v>
      </c>
      <c r="D359" s="1" t="s">
        <v>22</v>
      </c>
      <c r="E359" s="1" t="s">
        <v>27</v>
      </c>
      <c r="F359" s="1" t="s">
        <v>70</v>
      </c>
      <c r="G359" s="1">
        <v>1</v>
      </c>
      <c r="H359" s="1">
        <v>28000</v>
      </c>
      <c r="I359" s="1">
        <v>0.02</v>
      </c>
      <c r="J359" s="1">
        <v>27440</v>
      </c>
      <c r="K359" s="1">
        <v>21403.200000000001</v>
      </c>
      <c r="L359" s="1">
        <v>6036.7999999999993</v>
      </c>
    </row>
    <row r="360" spans="1:12" x14ac:dyDescent="0.35">
      <c r="A360" s="3" t="s">
        <v>744</v>
      </c>
      <c r="B360" s="2">
        <v>45814</v>
      </c>
      <c r="C360" s="3" t="s">
        <v>745</v>
      </c>
      <c r="D360" s="3" t="s">
        <v>17</v>
      </c>
      <c r="E360" s="3" t="s">
        <v>23</v>
      </c>
      <c r="F360" s="3" t="s">
        <v>14</v>
      </c>
      <c r="G360" s="3">
        <v>1</v>
      </c>
      <c r="H360" s="3">
        <v>65000</v>
      </c>
      <c r="I360" s="3">
        <v>0</v>
      </c>
      <c r="J360" s="3">
        <v>65000</v>
      </c>
      <c r="K360" s="3">
        <v>51350</v>
      </c>
      <c r="L360" s="3">
        <v>13650</v>
      </c>
    </row>
    <row r="361" spans="1:12" x14ac:dyDescent="0.35">
      <c r="A361" s="1" t="s">
        <v>746</v>
      </c>
      <c r="B361" s="4">
        <v>46008</v>
      </c>
      <c r="C361" s="1" t="s">
        <v>747</v>
      </c>
      <c r="D361" s="1" t="s">
        <v>12</v>
      </c>
      <c r="E361" s="1" t="s">
        <v>23</v>
      </c>
      <c r="F361" s="1" t="s">
        <v>24</v>
      </c>
      <c r="G361" s="1">
        <v>6</v>
      </c>
      <c r="H361" s="1">
        <v>2200</v>
      </c>
      <c r="I361" s="1">
        <v>0</v>
      </c>
      <c r="J361" s="1">
        <v>13200</v>
      </c>
      <c r="K361" s="1">
        <v>9768</v>
      </c>
      <c r="L361" s="1">
        <v>3432</v>
      </c>
    </row>
    <row r="362" spans="1:12" x14ac:dyDescent="0.35">
      <c r="A362" s="3" t="s">
        <v>748</v>
      </c>
      <c r="B362" s="2">
        <v>45922</v>
      </c>
      <c r="C362" s="3" t="s">
        <v>749</v>
      </c>
      <c r="D362" s="3" t="s">
        <v>31</v>
      </c>
      <c r="E362" s="3" t="s">
        <v>23</v>
      </c>
      <c r="F362" s="3" t="s">
        <v>44</v>
      </c>
      <c r="G362" s="3">
        <v>2</v>
      </c>
      <c r="H362" s="3">
        <v>12500</v>
      </c>
      <c r="I362" s="3">
        <v>0.15</v>
      </c>
      <c r="J362" s="3">
        <v>21250</v>
      </c>
      <c r="K362" s="3">
        <v>13812.5</v>
      </c>
      <c r="L362" s="3">
        <v>7437.5</v>
      </c>
    </row>
    <row r="363" spans="1:12" x14ac:dyDescent="0.35">
      <c r="A363" s="1" t="s">
        <v>750</v>
      </c>
      <c r="B363" s="4">
        <v>45871</v>
      </c>
      <c r="C363" s="1" t="s">
        <v>751</v>
      </c>
      <c r="D363" s="1" t="s">
        <v>22</v>
      </c>
      <c r="E363" s="1" t="s">
        <v>23</v>
      </c>
      <c r="F363" s="1" t="s">
        <v>19</v>
      </c>
      <c r="G363" s="1">
        <v>4</v>
      </c>
      <c r="H363" s="1">
        <v>1800</v>
      </c>
      <c r="I363" s="1">
        <v>0.15</v>
      </c>
      <c r="J363" s="1">
        <v>6120</v>
      </c>
      <c r="K363" s="1">
        <v>4345.2</v>
      </c>
      <c r="L363" s="1">
        <v>1774.8000000000002</v>
      </c>
    </row>
    <row r="364" spans="1:12" x14ac:dyDescent="0.35">
      <c r="A364" s="3" t="s">
        <v>752</v>
      </c>
      <c r="B364" s="2">
        <v>45981</v>
      </c>
      <c r="C364" s="3" t="s">
        <v>753</v>
      </c>
      <c r="D364" s="3" t="s">
        <v>12</v>
      </c>
      <c r="E364" s="3" t="s">
        <v>18</v>
      </c>
      <c r="F364" s="3" t="s">
        <v>70</v>
      </c>
      <c r="G364" s="3">
        <v>10</v>
      </c>
      <c r="H364" s="3">
        <v>28000</v>
      </c>
      <c r="I364" s="3">
        <v>0.02</v>
      </c>
      <c r="J364" s="3">
        <v>274400</v>
      </c>
      <c r="K364" s="3">
        <v>203056</v>
      </c>
      <c r="L364" s="3">
        <v>71344</v>
      </c>
    </row>
    <row r="365" spans="1:12" x14ac:dyDescent="0.35">
      <c r="A365" s="1" t="s">
        <v>754</v>
      </c>
      <c r="B365" s="4">
        <v>45970</v>
      </c>
      <c r="C365" s="1" t="s">
        <v>755</v>
      </c>
      <c r="D365" s="1" t="s">
        <v>31</v>
      </c>
      <c r="E365" s="1" t="s">
        <v>27</v>
      </c>
      <c r="F365" s="1" t="s">
        <v>39</v>
      </c>
      <c r="G365" s="1">
        <v>3</v>
      </c>
      <c r="H365" s="1">
        <v>250</v>
      </c>
      <c r="I365" s="1">
        <v>0</v>
      </c>
      <c r="J365" s="1">
        <v>750</v>
      </c>
      <c r="K365" s="1">
        <v>562.5</v>
      </c>
      <c r="L365" s="1">
        <v>187.5</v>
      </c>
    </row>
    <row r="366" spans="1:12" x14ac:dyDescent="0.35">
      <c r="A366" s="3" t="s">
        <v>756</v>
      </c>
      <c r="B366" s="2">
        <v>45870</v>
      </c>
      <c r="C366" s="3" t="s">
        <v>757</v>
      </c>
      <c r="D366" s="3" t="s">
        <v>22</v>
      </c>
      <c r="E366" s="3" t="s">
        <v>18</v>
      </c>
      <c r="F366" s="3" t="s">
        <v>51</v>
      </c>
      <c r="G366" s="3">
        <v>3</v>
      </c>
      <c r="H366" s="3">
        <v>4500</v>
      </c>
      <c r="I366" s="3">
        <v>0</v>
      </c>
      <c r="J366" s="3">
        <v>13500</v>
      </c>
      <c r="K366" s="3">
        <v>8100</v>
      </c>
      <c r="L366" s="3">
        <v>5400</v>
      </c>
    </row>
    <row r="367" spans="1:12" x14ac:dyDescent="0.35">
      <c r="A367" s="1" t="s">
        <v>758</v>
      </c>
      <c r="B367" s="4">
        <v>45951</v>
      </c>
      <c r="C367" s="1" t="s">
        <v>759</v>
      </c>
      <c r="D367" s="1" t="s">
        <v>22</v>
      </c>
      <c r="E367" s="1" t="s">
        <v>23</v>
      </c>
      <c r="F367" s="1" t="s">
        <v>32</v>
      </c>
      <c r="G367" s="1">
        <v>7</v>
      </c>
      <c r="H367" s="1">
        <v>15000</v>
      </c>
      <c r="I367" s="1">
        <v>0.15</v>
      </c>
      <c r="J367" s="1">
        <v>89250</v>
      </c>
      <c r="K367" s="1">
        <v>65152.5</v>
      </c>
      <c r="L367" s="1">
        <v>24097.5</v>
      </c>
    </row>
    <row r="368" spans="1:12" x14ac:dyDescent="0.35">
      <c r="A368" s="3" t="s">
        <v>760</v>
      </c>
      <c r="B368" s="2">
        <v>45692</v>
      </c>
      <c r="C368" s="3" t="s">
        <v>761</v>
      </c>
      <c r="D368" s="3" t="s">
        <v>12</v>
      </c>
      <c r="E368" s="3" t="s">
        <v>27</v>
      </c>
      <c r="F368" s="3" t="s">
        <v>39</v>
      </c>
      <c r="G368" s="3">
        <v>6</v>
      </c>
      <c r="H368" s="3">
        <v>250</v>
      </c>
      <c r="I368" s="3">
        <v>0.08</v>
      </c>
      <c r="J368" s="3">
        <v>1380</v>
      </c>
      <c r="K368" s="3">
        <v>1062.5999999999999</v>
      </c>
      <c r="L368" s="3">
        <v>317.40000000000009</v>
      </c>
    </row>
    <row r="369" spans="1:12" x14ac:dyDescent="0.35">
      <c r="A369" s="1" t="s">
        <v>762</v>
      </c>
      <c r="B369" s="4">
        <v>45782</v>
      </c>
      <c r="C369" s="1" t="s">
        <v>763</v>
      </c>
      <c r="D369" s="1" t="s">
        <v>12</v>
      </c>
      <c r="E369" s="1" t="s">
        <v>23</v>
      </c>
      <c r="F369" s="1" t="s">
        <v>14</v>
      </c>
      <c r="G369" s="1">
        <v>8</v>
      </c>
      <c r="H369" s="1">
        <v>65000</v>
      </c>
      <c r="I369" s="1">
        <v>0.1</v>
      </c>
      <c r="J369" s="1">
        <v>468000</v>
      </c>
      <c r="K369" s="1">
        <v>369720</v>
      </c>
      <c r="L369" s="1">
        <v>98280</v>
      </c>
    </row>
    <row r="370" spans="1:12" x14ac:dyDescent="0.35">
      <c r="A370" s="3" t="s">
        <v>764</v>
      </c>
      <c r="B370" s="2">
        <v>45750</v>
      </c>
      <c r="C370" s="3" t="s">
        <v>765</v>
      </c>
      <c r="D370" s="3" t="s">
        <v>17</v>
      </c>
      <c r="E370" s="3" t="s">
        <v>18</v>
      </c>
      <c r="F370" s="3" t="s">
        <v>39</v>
      </c>
      <c r="G370" s="3">
        <v>5</v>
      </c>
      <c r="H370" s="3">
        <v>250</v>
      </c>
      <c r="I370" s="3">
        <v>0.08</v>
      </c>
      <c r="J370" s="3">
        <v>1150</v>
      </c>
      <c r="K370" s="3">
        <v>851</v>
      </c>
      <c r="L370" s="3">
        <v>299</v>
      </c>
    </row>
    <row r="371" spans="1:12" x14ac:dyDescent="0.35">
      <c r="A371" s="1" t="s">
        <v>766</v>
      </c>
      <c r="B371" s="4">
        <v>45912</v>
      </c>
      <c r="C371" s="1" t="s">
        <v>767</v>
      </c>
      <c r="D371" s="1" t="s">
        <v>22</v>
      </c>
      <c r="E371" s="1" t="s">
        <v>13</v>
      </c>
      <c r="F371" s="1" t="s">
        <v>70</v>
      </c>
      <c r="G371" s="1">
        <v>4</v>
      </c>
      <c r="H371" s="1">
        <v>28000</v>
      </c>
      <c r="I371" s="1">
        <v>0</v>
      </c>
      <c r="J371" s="1">
        <v>112000</v>
      </c>
      <c r="K371" s="1">
        <v>78400</v>
      </c>
      <c r="L371" s="1">
        <v>33600</v>
      </c>
    </row>
    <row r="372" spans="1:12" x14ac:dyDescent="0.35">
      <c r="A372" s="3" t="s">
        <v>768</v>
      </c>
      <c r="B372" s="2">
        <v>45734</v>
      </c>
      <c r="C372" s="3" t="s">
        <v>769</v>
      </c>
      <c r="D372" s="3" t="s">
        <v>22</v>
      </c>
      <c r="E372" s="3" t="s">
        <v>18</v>
      </c>
      <c r="F372" s="3" t="s">
        <v>24</v>
      </c>
      <c r="G372" s="3">
        <v>2</v>
      </c>
      <c r="H372" s="3">
        <v>2200</v>
      </c>
      <c r="I372" s="3">
        <v>0.08</v>
      </c>
      <c r="J372" s="3">
        <v>4048</v>
      </c>
      <c r="K372" s="3">
        <v>2995.52</v>
      </c>
      <c r="L372" s="3">
        <v>1052.48</v>
      </c>
    </row>
    <row r="373" spans="1:12" x14ac:dyDescent="0.35">
      <c r="A373" s="1" t="s">
        <v>770</v>
      </c>
      <c r="B373" s="4">
        <v>45804</v>
      </c>
      <c r="C373" s="1" t="s">
        <v>771</v>
      </c>
      <c r="D373" s="1" t="s">
        <v>12</v>
      </c>
      <c r="E373" s="1" t="s">
        <v>27</v>
      </c>
      <c r="F373" s="1" t="s">
        <v>32</v>
      </c>
      <c r="G373" s="1">
        <v>10</v>
      </c>
      <c r="H373" s="1">
        <v>15000</v>
      </c>
      <c r="I373" s="1">
        <v>0.1</v>
      </c>
      <c r="J373" s="1">
        <v>135000</v>
      </c>
      <c r="K373" s="1">
        <v>98550</v>
      </c>
      <c r="L373" s="1">
        <v>36450</v>
      </c>
    </row>
    <row r="374" spans="1:12" x14ac:dyDescent="0.35">
      <c r="A374" s="3" t="s">
        <v>772</v>
      </c>
      <c r="B374" s="2">
        <v>45682</v>
      </c>
      <c r="C374" s="3" t="s">
        <v>773</v>
      </c>
      <c r="D374" s="3" t="s">
        <v>12</v>
      </c>
      <c r="E374" s="3" t="s">
        <v>27</v>
      </c>
      <c r="F374" s="3" t="s">
        <v>44</v>
      </c>
      <c r="G374" s="3">
        <v>3</v>
      </c>
      <c r="H374" s="3">
        <v>12500</v>
      </c>
      <c r="I374" s="3">
        <v>0</v>
      </c>
      <c r="J374" s="3">
        <v>37500</v>
      </c>
      <c r="K374" s="3">
        <v>26250</v>
      </c>
      <c r="L374" s="3">
        <v>11250</v>
      </c>
    </row>
    <row r="375" spans="1:12" x14ac:dyDescent="0.35">
      <c r="A375" s="1" t="s">
        <v>774</v>
      </c>
      <c r="B375" s="4">
        <v>45862</v>
      </c>
      <c r="C375" s="1" t="s">
        <v>775</v>
      </c>
      <c r="D375" s="1" t="s">
        <v>31</v>
      </c>
      <c r="E375" s="1" t="s">
        <v>13</v>
      </c>
      <c r="F375" s="1" t="s">
        <v>51</v>
      </c>
      <c r="G375" s="1">
        <v>1</v>
      </c>
      <c r="H375" s="1">
        <v>4500</v>
      </c>
      <c r="I375" s="1">
        <v>0.1</v>
      </c>
      <c r="J375" s="1">
        <v>4050</v>
      </c>
      <c r="K375" s="1">
        <v>2916</v>
      </c>
      <c r="L375" s="1">
        <v>1134</v>
      </c>
    </row>
    <row r="376" spans="1:12" x14ac:dyDescent="0.35">
      <c r="A376" s="3" t="s">
        <v>776</v>
      </c>
      <c r="B376" s="2">
        <v>45885</v>
      </c>
      <c r="C376" s="3" t="s">
        <v>777</v>
      </c>
      <c r="D376" s="3" t="s">
        <v>17</v>
      </c>
      <c r="E376" s="3" t="s">
        <v>18</v>
      </c>
      <c r="F376" s="3" t="s">
        <v>39</v>
      </c>
      <c r="G376" s="3">
        <v>9</v>
      </c>
      <c r="H376" s="3">
        <v>250</v>
      </c>
      <c r="I376" s="3">
        <v>0</v>
      </c>
      <c r="J376" s="3">
        <v>2250</v>
      </c>
      <c r="K376" s="3">
        <v>1395</v>
      </c>
      <c r="L376" s="3">
        <v>855</v>
      </c>
    </row>
    <row r="377" spans="1:12" x14ac:dyDescent="0.35">
      <c r="A377" s="1" t="s">
        <v>778</v>
      </c>
      <c r="B377" s="4">
        <v>45847</v>
      </c>
      <c r="C377" s="1" t="s">
        <v>779</v>
      </c>
      <c r="D377" s="1" t="s">
        <v>31</v>
      </c>
      <c r="E377" s="1" t="s">
        <v>23</v>
      </c>
      <c r="F377" s="1" t="s">
        <v>51</v>
      </c>
      <c r="G377" s="1">
        <v>1</v>
      </c>
      <c r="H377" s="1">
        <v>4500</v>
      </c>
      <c r="I377" s="1">
        <v>0.05</v>
      </c>
      <c r="J377" s="1">
        <v>4275</v>
      </c>
      <c r="K377" s="1">
        <v>3291.75</v>
      </c>
      <c r="L377" s="1">
        <v>983.25</v>
      </c>
    </row>
    <row r="378" spans="1:12" x14ac:dyDescent="0.35">
      <c r="A378" s="3" t="s">
        <v>780</v>
      </c>
      <c r="B378" s="2">
        <v>45804</v>
      </c>
      <c r="C378" s="3" t="s">
        <v>781</v>
      </c>
      <c r="D378" s="3" t="s">
        <v>22</v>
      </c>
      <c r="E378" s="3" t="s">
        <v>18</v>
      </c>
      <c r="F378" s="3" t="s">
        <v>81</v>
      </c>
      <c r="G378" s="3">
        <v>3</v>
      </c>
      <c r="H378" s="3">
        <v>9500</v>
      </c>
      <c r="I378" s="3">
        <v>0.02</v>
      </c>
      <c r="J378" s="3">
        <v>27930</v>
      </c>
      <c r="K378" s="3">
        <v>18433.8</v>
      </c>
      <c r="L378" s="3">
        <v>9496.2000000000007</v>
      </c>
    </row>
    <row r="379" spans="1:12" x14ac:dyDescent="0.35">
      <c r="A379" s="1" t="s">
        <v>782</v>
      </c>
      <c r="B379" s="4">
        <v>45984</v>
      </c>
      <c r="C379" s="1" t="s">
        <v>783</v>
      </c>
      <c r="D379" s="1" t="s">
        <v>12</v>
      </c>
      <c r="E379" s="1" t="s">
        <v>27</v>
      </c>
      <c r="F379" s="1" t="s">
        <v>14</v>
      </c>
      <c r="G379" s="1">
        <v>6</v>
      </c>
      <c r="H379" s="1">
        <v>65000</v>
      </c>
      <c r="I379" s="1">
        <v>0.02</v>
      </c>
      <c r="J379" s="1">
        <v>382200</v>
      </c>
      <c r="K379" s="1">
        <v>236964</v>
      </c>
      <c r="L379" s="1">
        <v>145236</v>
      </c>
    </row>
    <row r="380" spans="1:12" x14ac:dyDescent="0.35">
      <c r="A380" s="3" t="s">
        <v>784</v>
      </c>
      <c r="B380" s="2">
        <v>45849</v>
      </c>
      <c r="C380" s="3" t="s">
        <v>785</v>
      </c>
      <c r="D380" s="3" t="s">
        <v>12</v>
      </c>
      <c r="E380" s="3" t="s">
        <v>23</v>
      </c>
      <c r="F380" s="3" t="s">
        <v>44</v>
      </c>
      <c r="G380" s="3">
        <v>6</v>
      </c>
      <c r="H380" s="3">
        <v>12500</v>
      </c>
      <c r="I380" s="3">
        <v>0.05</v>
      </c>
      <c r="J380" s="3">
        <v>71250</v>
      </c>
      <c r="K380" s="3">
        <v>53437.5</v>
      </c>
      <c r="L380" s="3">
        <v>17812.5</v>
      </c>
    </row>
    <row r="381" spans="1:12" x14ac:dyDescent="0.35">
      <c r="A381" s="1" t="s">
        <v>786</v>
      </c>
      <c r="B381" s="4">
        <v>45887</v>
      </c>
      <c r="C381" s="1" t="s">
        <v>787</v>
      </c>
      <c r="D381" s="1" t="s">
        <v>31</v>
      </c>
      <c r="E381" s="1" t="s">
        <v>13</v>
      </c>
      <c r="F381" s="1" t="s">
        <v>81</v>
      </c>
      <c r="G381" s="1">
        <v>5</v>
      </c>
      <c r="H381" s="1">
        <v>9500</v>
      </c>
      <c r="I381" s="1">
        <v>0.02</v>
      </c>
      <c r="J381" s="1">
        <v>46550</v>
      </c>
      <c r="K381" s="1">
        <v>33050.5</v>
      </c>
      <c r="L381" s="1">
        <v>13499.5</v>
      </c>
    </row>
    <row r="382" spans="1:12" x14ac:dyDescent="0.35">
      <c r="A382" s="3" t="s">
        <v>788</v>
      </c>
      <c r="B382" s="2">
        <v>45677</v>
      </c>
      <c r="C382" s="3" t="s">
        <v>789</v>
      </c>
      <c r="D382" s="3" t="s">
        <v>17</v>
      </c>
      <c r="E382" s="3" t="s">
        <v>23</v>
      </c>
      <c r="F382" s="3" t="s">
        <v>44</v>
      </c>
      <c r="G382" s="3">
        <v>4</v>
      </c>
      <c r="H382" s="3">
        <v>12500</v>
      </c>
      <c r="I382" s="3">
        <v>0.15</v>
      </c>
      <c r="J382" s="3">
        <v>42500</v>
      </c>
      <c r="K382" s="3">
        <v>29750</v>
      </c>
      <c r="L382" s="3">
        <v>12750</v>
      </c>
    </row>
    <row r="383" spans="1:12" x14ac:dyDescent="0.35">
      <c r="A383" s="1" t="s">
        <v>790</v>
      </c>
      <c r="B383" s="4">
        <v>45792</v>
      </c>
      <c r="C383" s="1" t="s">
        <v>791</v>
      </c>
      <c r="D383" s="1" t="s">
        <v>22</v>
      </c>
      <c r="E383" s="1" t="s">
        <v>13</v>
      </c>
      <c r="F383" s="1" t="s">
        <v>28</v>
      </c>
      <c r="G383" s="1">
        <v>9</v>
      </c>
      <c r="H383" s="1">
        <v>18000</v>
      </c>
      <c r="I383" s="1">
        <v>0.02</v>
      </c>
      <c r="J383" s="1">
        <v>158760</v>
      </c>
      <c r="K383" s="1">
        <v>101606.39999999999</v>
      </c>
      <c r="L383" s="1">
        <v>57153.600000000006</v>
      </c>
    </row>
    <row r="384" spans="1:12" x14ac:dyDescent="0.35">
      <c r="A384" s="3" t="s">
        <v>792</v>
      </c>
      <c r="B384" s="2">
        <v>46001</v>
      </c>
      <c r="C384" s="3" t="s">
        <v>793</v>
      </c>
      <c r="D384" s="3" t="s">
        <v>17</v>
      </c>
      <c r="E384" s="3" t="s">
        <v>18</v>
      </c>
      <c r="F384" s="3" t="s">
        <v>32</v>
      </c>
      <c r="G384" s="3">
        <v>2</v>
      </c>
      <c r="H384" s="3">
        <v>15000</v>
      </c>
      <c r="I384" s="3">
        <v>0.08</v>
      </c>
      <c r="J384" s="3">
        <v>27600</v>
      </c>
      <c r="K384" s="3">
        <v>19596</v>
      </c>
      <c r="L384" s="3">
        <v>8004</v>
      </c>
    </row>
    <row r="385" spans="1:12" x14ac:dyDescent="0.35">
      <c r="A385" s="1" t="s">
        <v>794</v>
      </c>
      <c r="B385" s="4">
        <v>46008</v>
      </c>
      <c r="C385" s="1" t="s">
        <v>795</v>
      </c>
      <c r="D385" s="1" t="s">
        <v>22</v>
      </c>
      <c r="E385" s="1" t="s">
        <v>27</v>
      </c>
      <c r="F385" s="1" t="s">
        <v>39</v>
      </c>
      <c r="G385" s="1">
        <v>4</v>
      </c>
      <c r="H385" s="1">
        <v>250</v>
      </c>
      <c r="I385" s="1">
        <v>0.02</v>
      </c>
      <c r="J385" s="1">
        <v>980</v>
      </c>
      <c r="K385" s="1">
        <v>656.6</v>
      </c>
      <c r="L385" s="1">
        <v>323.39999999999998</v>
      </c>
    </row>
    <row r="386" spans="1:12" x14ac:dyDescent="0.35">
      <c r="A386" s="3" t="s">
        <v>796</v>
      </c>
      <c r="B386" s="2">
        <v>46008</v>
      </c>
      <c r="C386" s="3" t="s">
        <v>797</v>
      </c>
      <c r="D386" s="3" t="s">
        <v>17</v>
      </c>
      <c r="E386" s="3" t="s">
        <v>13</v>
      </c>
      <c r="F386" s="3" t="s">
        <v>70</v>
      </c>
      <c r="G386" s="3">
        <v>7</v>
      </c>
      <c r="H386" s="3">
        <v>28000</v>
      </c>
      <c r="I386" s="3">
        <v>0.1</v>
      </c>
      <c r="J386" s="3">
        <v>176400</v>
      </c>
      <c r="K386" s="3">
        <v>137592</v>
      </c>
      <c r="L386" s="3">
        <v>38808</v>
      </c>
    </row>
    <row r="387" spans="1:12" x14ac:dyDescent="0.35">
      <c r="A387" s="1" t="s">
        <v>798</v>
      </c>
      <c r="B387" s="4">
        <v>45954</v>
      </c>
      <c r="C387" s="1" t="s">
        <v>799</v>
      </c>
      <c r="D387" s="1" t="s">
        <v>17</v>
      </c>
      <c r="E387" s="1" t="s">
        <v>18</v>
      </c>
      <c r="F387" s="1" t="s">
        <v>81</v>
      </c>
      <c r="G387" s="1">
        <v>8</v>
      </c>
      <c r="H387" s="1">
        <v>9500</v>
      </c>
      <c r="I387" s="1">
        <v>0.05</v>
      </c>
      <c r="J387" s="1">
        <v>72200</v>
      </c>
      <c r="K387" s="1">
        <v>55594</v>
      </c>
      <c r="L387" s="1">
        <v>16606</v>
      </c>
    </row>
    <row r="388" spans="1:12" x14ac:dyDescent="0.35">
      <c r="A388" s="3" t="s">
        <v>800</v>
      </c>
      <c r="B388" s="2">
        <v>45941</v>
      </c>
      <c r="C388" s="3" t="s">
        <v>801</v>
      </c>
      <c r="D388" s="3" t="s">
        <v>22</v>
      </c>
      <c r="E388" s="3" t="s">
        <v>23</v>
      </c>
      <c r="F388" s="3" t="s">
        <v>14</v>
      </c>
      <c r="G388" s="3">
        <v>2</v>
      </c>
      <c r="H388" s="3">
        <v>65000</v>
      </c>
      <c r="I388" s="3">
        <v>0.15</v>
      </c>
      <c r="J388" s="3">
        <v>110500</v>
      </c>
      <c r="K388" s="3">
        <v>76245</v>
      </c>
      <c r="L388" s="3">
        <v>34255</v>
      </c>
    </row>
    <row r="389" spans="1:12" x14ac:dyDescent="0.35">
      <c r="A389" s="1" t="s">
        <v>802</v>
      </c>
      <c r="B389" s="4">
        <v>45942</v>
      </c>
      <c r="C389" s="1" t="s">
        <v>803</v>
      </c>
      <c r="D389" s="1" t="s">
        <v>17</v>
      </c>
      <c r="E389" s="1" t="s">
        <v>13</v>
      </c>
      <c r="F389" s="1" t="s">
        <v>70</v>
      </c>
      <c r="G389" s="1">
        <v>9</v>
      </c>
      <c r="H389" s="1">
        <v>28000</v>
      </c>
      <c r="I389" s="1">
        <v>0.05</v>
      </c>
      <c r="J389" s="1">
        <v>239400</v>
      </c>
      <c r="K389" s="1">
        <v>186732</v>
      </c>
      <c r="L389" s="1">
        <v>52668</v>
      </c>
    </row>
    <row r="390" spans="1:12" x14ac:dyDescent="0.35">
      <c r="A390" s="3" t="s">
        <v>804</v>
      </c>
      <c r="B390" s="2">
        <v>45932</v>
      </c>
      <c r="C390" s="3" t="s">
        <v>805</v>
      </c>
      <c r="D390" s="3" t="s">
        <v>12</v>
      </c>
      <c r="E390" s="3" t="s">
        <v>23</v>
      </c>
      <c r="F390" s="3" t="s">
        <v>81</v>
      </c>
      <c r="G390" s="3">
        <v>7</v>
      </c>
      <c r="H390" s="3">
        <v>9500</v>
      </c>
      <c r="I390" s="3">
        <v>0.02</v>
      </c>
      <c r="J390" s="3">
        <v>65170</v>
      </c>
      <c r="K390" s="3">
        <v>42360.5</v>
      </c>
      <c r="L390" s="3">
        <v>22809.5</v>
      </c>
    </row>
    <row r="391" spans="1:12" x14ac:dyDescent="0.35">
      <c r="A391" s="1" t="s">
        <v>806</v>
      </c>
      <c r="B391" s="4">
        <v>45689</v>
      </c>
      <c r="C391" s="1" t="s">
        <v>807</v>
      </c>
      <c r="D391" s="1" t="s">
        <v>31</v>
      </c>
      <c r="E391" s="1" t="s">
        <v>27</v>
      </c>
      <c r="F391" s="1" t="s">
        <v>24</v>
      </c>
      <c r="G391" s="1">
        <v>4</v>
      </c>
      <c r="H391" s="1">
        <v>2200</v>
      </c>
      <c r="I391" s="1">
        <v>0.1</v>
      </c>
      <c r="J391" s="1">
        <v>7920</v>
      </c>
      <c r="K391" s="1">
        <v>6256.8</v>
      </c>
      <c r="L391" s="1">
        <v>1663.1999999999998</v>
      </c>
    </row>
    <row r="392" spans="1:12" x14ac:dyDescent="0.35">
      <c r="A392" s="3" t="s">
        <v>808</v>
      </c>
      <c r="B392" s="2">
        <v>45879</v>
      </c>
      <c r="C392" s="3" t="s">
        <v>809</v>
      </c>
      <c r="D392" s="3" t="s">
        <v>17</v>
      </c>
      <c r="E392" s="3" t="s">
        <v>23</v>
      </c>
      <c r="F392" s="3" t="s">
        <v>81</v>
      </c>
      <c r="G392" s="3">
        <v>2</v>
      </c>
      <c r="H392" s="3">
        <v>9500</v>
      </c>
      <c r="I392" s="3">
        <v>0.02</v>
      </c>
      <c r="J392" s="3">
        <v>18620</v>
      </c>
      <c r="K392" s="3">
        <v>13034</v>
      </c>
      <c r="L392" s="3">
        <v>5586</v>
      </c>
    </row>
    <row r="393" spans="1:12" x14ac:dyDescent="0.35">
      <c r="A393" s="1" t="s">
        <v>810</v>
      </c>
      <c r="B393" s="4">
        <v>45825</v>
      </c>
      <c r="C393" s="1" t="s">
        <v>811</v>
      </c>
      <c r="D393" s="1" t="s">
        <v>22</v>
      </c>
      <c r="E393" s="1" t="s">
        <v>23</v>
      </c>
      <c r="F393" s="1" t="s">
        <v>28</v>
      </c>
      <c r="G393" s="1">
        <v>8</v>
      </c>
      <c r="H393" s="1">
        <v>18000</v>
      </c>
      <c r="I393" s="1">
        <v>0</v>
      </c>
      <c r="J393" s="1">
        <v>144000</v>
      </c>
      <c r="K393" s="1">
        <v>103680</v>
      </c>
      <c r="L393" s="1">
        <v>40320</v>
      </c>
    </row>
    <row r="394" spans="1:12" x14ac:dyDescent="0.35">
      <c r="A394" s="3" t="s">
        <v>812</v>
      </c>
      <c r="B394" s="2">
        <v>45773</v>
      </c>
      <c r="C394" s="3" t="s">
        <v>813</v>
      </c>
      <c r="D394" s="3" t="s">
        <v>22</v>
      </c>
      <c r="E394" s="3" t="s">
        <v>27</v>
      </c>
      <c r="F394" s="3" t="s">
        <v>32</v>
      </c>
      <c r="G394" s="3">
        <v>9</v>
      </c>
      <c r="H394" s="3">
        <v>15000</v>
      </c>
      <c r="I394" s="3">
        <v>0.08</v>
      </c>
      <c r="J394" s="3">
        <v>124200</v>
      </c>
      <c r="K394" s="3">
        <v>83214</v>
      </c>
      <c r="L394" s="3">
        <v>40986</v>
      </c>
    </row>
    <row r="395" spans="1:12" x14ac:dyDescent="0.35">
      <c r="A395" s="1" t="s">
        <v>814</v>
      </c>
      <c r="B395" s="4">
        <v>46000</v>
      </c>
      <c r="C395" s="1" t="s">
        <v>815</v>
      </c>
      <c r="D395" s="1" t="s">
        <v>17</v>
      </c>
      <c r="E395" s="1" t="s">
        <v>18</v>
      </c>
      <c r="F395" s="1" t="s">
        <v>44</v>
      </c>
      <c r="G395" s="1">
        <v>4</v>
      </c>
      <c r="H395" s="1">
        <v>12500</v>
      </c>
      <c r="I395" s="1">
        <v>0.15</v>
      </c>
      <c r="J395" s="1">
        <v>42500</v>
      </c>
      <c r="K395" s="1">
        <v>33575</v>
      </c>
      <c r="L395" s="1">
        <v>8925</v>
      </c>
    </row>
    <row r="396" spans="1:12" x14ac:dyDescent="0.35">
      <c r="A396" s="3" t="s">
        <v>816</v>
      </c>
      <c r="B396" s="2">
        <v>45784</v>
      </c>
      <c r="C396" s="3" t="s">
        <v>817</v>
      </c>
      <c r="D396" s="3" t="s">
        <v>17</v>
      </c>
      <c r="E396" s="3" t="s">
        <v>13</v>
      </c>
      <c r="F396" s="3" t="s">
        <v>39</v>
      </c>
      <c r="G396" s="3">
        <v>5</v>
      </c>
      <c r="H396" s="3">
        <v>250</v>
      </c>
      <c r="I396" s="3">
        <v>0.15</v>
      </c>
      <c r="J396" s="3">
        <v>1062.5</v>
      </c>
      <c r="K396" s="3">
        <v>775.625</v>
      </c>
      <c r="L396" s="3">
        <v>286.875</v>
      </c>
    </row>
    <row r="397" spans="1:12" x14ac:dyDescent="0.35">
      <c r="A397" s="1" t="s">
        <v>818</v>
      </c>
      <c r="B397" s="4">
        <v>45751</v>
      </c>
      <c r="C397" s="1" t="s">
        <v>819</v>
      </c>
      <c r="D397" s="1" t="s">
        <v>12</v>
      </c>
      <c r="E397" s="1" t="s">
        <v>18</v>
      </c>
      <c r="F397" s="1" t="s">
        <v>32</v>
      </c>
      <c r="G397" s="1">
        <v>5</v>
      </c>
      <c r="H397" s="1">
        <v>15000</v>
      </c>
      <c r="I397" s="1">
        <v>0.15</v>
      </c>
      <c r="J397" s="1">
        <v>63750</v>
      </c>
      <c r="K397" s="1">
        <v>40162.5</v>
      </c>
      <c r="L397" s="1">
        <v>23587.5</v>
      </c>
    </row>
    <row r="398" spans="1:12" x14ac:dyDescent="0.35">
      <c r="A398" s="3" t="s">
        <v>820</v>
      </c>
      <c r="B398" s="2">
        <v>45846</v>
      </c>
      <c r="C398" s="3" t="s">
        <v>821</v>
      </c>
      <c r="D398" s="3" t="s">
        <v>31</v>
      </c>
      <c r="E398" s="3" t="s">
        <v>23</v>
      </c>
      <c r="F398" s="3" t="s">
        <v>39</v>
      </c>
      <c r="G398" s="3">
        <v>10</v>
      </c>
      <c r="H398" s="3">
        <v>250</v>
      </c>
      <c r="I398" s="3">
        <v>0.15</v>
      </c>
      <c r="J398" s="3">
        <v>2125</v>
      </c>
      <c r="K398" s="3">
        <v>1678.75</v>
      </c>
      <c r="L398" s="3">
        <v>446.25</v>
      </c>
    </row>
    <row r="399" spans="1:12" x14ac:dyDescent="0.35">
      <c r="A399" s="1" t="s">
        <v>822</v>
      </c>
      <c r="B399" s="4">
        <v>45896</v>
      </c>
      <c r="C399" s="1" t="s">
        <v>823</v>
      </c>
      <c r="D399" s="1" t="s">
        <v>22</v>
      </c>
      <c r="E399" s="1" t="s">
        <v>18</v>
      </c>
      <c r="F399" s="1" t="s">
        <v>44</v>
      </c>
      <c r="G399" s="1">
        <v>10</v>
      </c>
      <c r="H399" s="1">
        <v>12500</v>
      </c>
      <c r="I399" s="1">
        <v>0.1</v>
      </c>
      <c r="J399" s="1">
        <v>112500</v>
      </c>
      <c r="K399" s="1">
        <v>69750</v>
      </c>
      <c r="L399" s="1">
        <v>42750</v>
      </c>
    </row>
    <row r="400" spans="1:12" x14ac:dyDescent="0.35">
      <c r="A400" s="3" t="s">
        <v>824</v>
      </c>
      <c r="B400" s="2">
        <v>45769</v>
      </c>
      <c r="C400" s="3" t="s">
        <v>825</v>
      </c>
      <c r="D400" s="3" t="s">
        <v>12</v>
      </c>
      <c r="E400" s="3" t="s">
        <v>23</v>
      </c>
      <c r="F400" s="3" t="s">
        <v>81</v>
      </c>
      <c r="G400" s="3">
        <v>1</v>
      </c>
      <c r="H400" s="3">
        <v>9500</v>
      </c>
      <c r="I400" s="3">
        <v>0.08</v>
      </c>
      <c r="J400" s="3">
        <v>8740</v>
      </c>
      <c r="K400" s="3">
        <v>6992</v>
      </c>
      <c r="L400" s="3">
        <v>1748</v>
      </c>
    </row>
    <row r="401" spans="1:12" x14ac:dyDescent="0.35">
      <c r="A401" s="1" t="s">
        <v>826</v>
      </c>
      <c r="B401" s="4">
        <v>45937</v>
      </c>
      <c r="C401" s="1" t="s">
        <v>827</v>
      </c>
      <c r="D401" s="1" t="s">
        <v>31</v>
      </c>
      <c r="E401" s="1" t="s">
        <v>23</v>
      </c>
      <c r="F401" s="1" t="s">
        <v>32</v>
      </c>
      <c r="G401" s="1">
        <v>10</v>
      </c>
      <c r="H401" s="1">
        <v>15000</v>
      </c>
      <c r="I401" s="1">
        <v>0</v>
      </c>
      <c r="J401" s="1">
        <v>150000</v>
      </c>
      <c r="K401" s="1">
        <v>114000</v>
      </c>
      <c r="L401" s="1">
        <v>36000</v>
      </c>
    </row>
    <row r="402" spans="1:12" x14ac:dyDescent="0.35">
      <c r="A402" s="3" t="s">
        <v>828</v>
      </c>
      <c r="B402" s="2">
        <v>45888</v>
      </c>
      <c r="C402" s="3" t="s">
        <v>829</v>
      </c>
      <c r="D402" s="3" t="s">
        <v>22</v>
      </c>
      <c r="E402" s="3" t="s">
        <v>18</v>
      </c>
      <c r="F402" s="3" t="s">
        <v>70</v>
      </c>
      <c r="G402" s="3">
        <v>9</v>
      </c>
      <c r="H402" s="3">
        <v>28000</v>
      </c>
      <c r="I402" s="3">
        <v>0.15</v>
      </c>
      <c r="J402" s="3">
        <v>214200</v>
      </c>
      <c r="K402" s="3">
        <v>149940</v>
      </c>
      <c r="L402" s="3">
        <v>64260</v>
      </c>
    </row>
    <row r="403" spans="1:12" x14ac:dyDescent="0.35">
      <c r="A403" s="1" t="s">
        <v>830</v>
      </c>
      <c r="B403" s="4">
        <v>45963</v>
      </c>
      <c r="C403" s="1" t="s">
        <v>831</v>
      </c>
      <c r="D403" s="1" t="s">
        <v>12</v>
      </c>
      <c r="E403" s="1" t="s">
        <v>27</v>
      </c>
      <c r="F403" s="1" t="s">
        <v>51</v>
      </c>
      <c r="G403" s="1">
        <v>7</v>
      </c>
      <c r="H403" s="1">
        <v>4500</v>
      </c>
      <c r="I403" s="1">
        <v>0.15</v>
      </c>
      <c r="J403" s="1">
        <v>26775</v>
      </c>
      <c r="K403" s="1">
        <v>17939.25</v>
      </c>
      <c r="L403" s="1">
        <v>8835.75</v>
      </c>
    </row>
    <row r="404" spans="1:12" x14ac:dyDescent="0.35">
      <c r="A404" s="3" t="s">
        <v>832</v>
      </c>
      <c r="B404" s="2">
        <v>45844</v>
      </c>
      <c r="C404" s="3" t="s">
        <v>833</v>
      </c>
      <c r="D404" s="3" t="s">
        <v>31</v>
      </c>
      <c r="E404" s="3" t="s">
        <v>27</v>
      </c>
      <c r="F404" s="3" t="s">
        <v>19</v>
      </c>
      <c r="G404" s="3">
        <v>9</v>
      </c>
      <c r="H404" s="3">
        <v>1800</v>
      </c>
      <c r="I404" s="3">
        <v>0.1</v>
      </c>
      <c r="J404" s="3">
        <v>14580</v>
      </c>
      <c r="K404" s="3">
        <v>9185.4</v>
      </c>
      <c r="L404" s="3">
        <v>5394.6</v>
      </c>
    </row>
    <row r="405" spans="1:12" x14ac:dyDescent="0.35">
      <c r="A405" s="1" t="s">
        <v>834</v>
      </c>
      <c r="B405" s="4">
        <v>45866</v>
      </c>
      <c r="C405" s="1" t="s">
        <v>835</v>
      </c>
      <c r="D405" s="1" t="s">
        <v>12</v>
      </c>
      <c r="E405" s="1" t="s">
        <v>18</v>
      </c>
      <c r="F405" s="1" t="s">
        <v>28</v>
      </c>
      <c r="G405" s="1">
        <v>3</v>
      </c>
      <c r="H405" s="1">
        <v>18000</v>
      </c>
      <c r="I405" s="1">
        <v>0.02</v>
      </c>
      <c r="J405" s="1">
        <v>52920</v>
      </c>
      <c r="K405" s="1">
        <v>39160.800000000003</v>
      </c>
      <c r="L405" s="1">
        <v>13759.199999999997</v>
      </c>
    </row>
    <row r="406" spans="1:12" x14ac:dyDescent="0.35">
      <c r="A406" s="3" t="s">
        <v>836</v>
      </c>
      <c r="B406" s="2">
        <v>45775</v>
      </c>
      <c r="C406" s="3" t="s">
        <v>837</v>
      </c>
      <c r="D406" s="3" t="s">
        <v>31</v>
      </c>
      <c r="E406" s="3" t="s">
        <v>13</v>
      </c>
      <c r="F406" s="3" t="s">
        <v>70</v>
      </c>
      <c r="G406" s="3">
        <v>8</v>
      </c>
      <c r="H406" s="3">
        <v>28000</v>
      </c>
      <c r="I406" s="3">
        <v>0.15</v>
      </c>
      <c r="J406" s="3">
        <v>190400</v>
      </c>
      <c r="K406" s="3">
        <v>152320</v>
      </c>
      <c r="L406" s="3">
        <v>38080</v>
      </c>
    </row>
    <row r="407" spans="1:12" x14ac:dyDescent="0.35">
      <c r="A407" s="1" t="s">
        <v>838</v>
      </c>
      <c r="B407" s="4">
        <v>45701</v>
      </c>
      <c r="C407" s="1" t="s">
        <v>839</v>
      </c>
      <c r="D407" s="1" t="s">
        <v>17</v>
      </c>
      <c r="E407" s="1" t="s">
        <v>13</v>
      </c>
      <c r="F407" s="1" t="s">
        <v>28</v>
      </c>
      <c r="G407" s="1">
        <v>10</v>
      </c>
      <c r="H407" s="1">
        <v>18000</v>
      </c>
      <c r="I407" s="1">
        <v>0.02</v>
      </c>
      <c r="J407" s="1">
        <v>176400</v>
      </c>
      <c r="K407" s="1">
        <v>118188</v>
      </c>
      <c r="L407" s="1">
        <v>58212</v>
      </c>
    </row>
    <row r="408" spans="1:12" x14ac:dyDescent="0.35">
      <c r="A408" s="3" t="s">
        <v>840</v>
      </c>
      <c r="B408" s="2">
        <v>45768</v>
      </c>
      <c r="C408" s="3" t="s">
        <v>841</v>
      </c>
      <c r="D408" s="3" t="s">
        <v>12</v>
      </c>
      <c r="E408" s="3" t="s">
        <v>27</v>
      </c>
      <c r="F408" s="3" t="s">
        <v>51</v>
      </c>
      <c r="G408" s="3">
        <v>2</v>
      </c>
      <c r="H408" s="3">
        <v>4500</v>
      </c>
      <c r="I408" s="3">
        <v>0.02</v>
      </c>
      <c r="J408" s="3">
        <v>8820</v>
      </c>
      <c r="K408" s="3">
        <v>6262.2</v>
      </c>
      <c r="L408" s="3">
        <v>2557.8000000000002</v>
      </c>
    </row>
    <row r="409" spans="1:12" x14ac:dyDescent="0.35">
      <c r="A409" s="1" t="s">
        <v>842</v>
      </c>
      <c r="B409" s="4">
        <v>45846</v>
      </c>
      <c r="C409" s="1" t="s">
        <v>843</v>
      </c>
      <c r="D409" s="1" t="s">
        <v>12</v>
      </c>
      <c r="E409" s="1" t="s">
        <v>27</v>
      </c>
      <c r="F409" s="1" t="s">
        <v>70</v>
      </c>
      <c r="G409" s="1">
        <v>9</v>
      </c>
      <c r="H409" s="1">
        <v>28000</v>
      </c>
      <c r="I409" s="1">
        <v>0.05</v>
      </c>
      <c r="J409" s="1">
        <v>239400</v>
      </c>
      <c r="K409" s="1">
        <v>191520</v>
      </c>
      <c r="L409" s="1">
        <v>47880</v>
      </c>
    </row>
    <row r="410" spans="1:12" x14ac:dyDescent="0.35">
      <c r="A410" s="3" t="s">
        <v>844</v>
      </c>
      <c r="B410" s="2">
        <v>45843</v>
      </c>
      <c r="C410" s="3" t="s">
        <v>845</v>
      </c>
      <c r="D410" s="3" t="s">
        <v>17</v>
      </c>
      <c r="E410" s="3" t="s">
        <v>18</v>
      </c>
      <c r="F410" s="3" t="s">
        <v>24</v>
      </c>
      <c r="G410" s="3">
        <v>9</v>
      </c>
      <c r="H410" s="3">
        <v>2200</v>
      </c>
      <c r="I410" s="3">
        <v>0.05</v>
      </c>
      <c r="J410" s="3">
        <v>18810</v>
      </c>
      <c r="K410" s="3">
        <v>11662.2</v>
      </c>
      <c r="L410" s="3">
        <v>7147.7999999999993</v>
      </c>
    </row>
    <row r="411" spans="1:12" x14ac:dyDescent="0.35">
      <c r="A411" s="1" t="s">
        <v>846</v>
      </c>
      <c r="B411" s="4">
        <v>45980</v>
      </c>
      <c r="C411" s="1" t="s">
        <v>847</v>
      </c>
      <c r="D411" s="1" t="s">
        <v>22</v>
      </c>
      <c r="E411" s="1" t="s">
        <v>23</v>
      </c>
      <c r="F411" s="1" t="s">
        <v>19</v>
      </c>
      <c r="G411" s="1">
        <v>8</v>
      </c>
      <c r="H411" s="1">
        <v>1800</v>
      </c>
      <c r="I411" s="1">
        <v>0</v>
      </c>
      <c r="J411" s="1">
        <v>14400</v>
      </c>
      <c r="K411" s="1">
        <v>8784</v>
      </c>
      <c r="L411" s="1">
        <v>5616</v>
      </c>
    </row>
    <row r="412" spans="1:12" x14ac:dyDescent="0.35">
      <c r="A412" s="3" t="s">
        <v>848</v>
      </c>
      <c r="B412" s="2">
        <v>45836</v>
      </c>
      <c r="C412" s="3" t="s">
        <v>849</v>
      </c>
      <c r="D412" s="3" t="s">
        <v>31</v>
      </c>
      <c r="E412" s="3" t="s">
        <v>18</v>
      </c>
      <c r="F412" s="3" t="s">
        <v>81</v>
      </c>
      <c r="G412" s="3">
        <v>6</v>
      </c>
      <c r="H412" s="3">
        <v>9500</v>
      </c>
      <c r="I412" s="3">
        <v>0.1</v>
      </c>
      <c r="J412" s="3">
        <v>51300</v>
      </c>
      <c r="K412" s="3">
        <v>35397</v>
      </c>
      <c r="L412" s="3">
        <v>15903</v>
      </c>
    </row>
    <row r="413" spans="1:12" x14ac:dyDescent="0.35">
      <c r="A413" s="1" t="s">
        <v>850</v>
      </c>
      <c r="B413" s="4">
        <v>45962</v>
      </c>
      <c r="C413" s="1" t="s">
        <v>851</v>
      </c>
      <c r="D413" s="1" t="s">
        <v>22</v>
      </c>
      <c r="E413" s="1" t="s">
        <v>18</v>
      </c>
      <c r="F413" s="1" t="s">
        <v>19</v>
      </c>
      <c r="G413" s="1">
        <v>4</v>
      </c>
      <c r="H413" s="1">
        <v>1800</v>
      </c>
      <c r="I413" s="1">
        <v>0.1</v>
      </c>
      <c r="J413" s="1">
        <v>6480</v>
      </c>
      <c r="K413" s="1">
        <v>3952.8</v>
      </c>
      <c r="L413" s="1">
        <v>2527.1999999999998</v>
      </c>
    </row>
    <row r="414" spans="1:12" x14ac:dyDescent="0.35">
      <c r="A414" s="3" t="s">
        <v>852</v>
      </c>
      <c r="B414" s="2">
        <v>45871</v>
      </c>
      <c r="C414" s="3" t="s">
        <v>853</v>
      </c>
      <c r="D414" s="3" t="s">
        <v>12</v>
      </c>
      <c r="E414" s="3" t="s">
        <v>27</v>
      </c>
      <c r="F414" s="3" t="s">
        <v>44</v>
      </c>
      <c r="G414" s="3">
        <v>3</v>
      </c>
      <c r="H414" s="3">
        <v>12500</v>
      </c>
      <c r="I414" s="3">
        <v>0.15</v>
      </c>
      <c r="J414" s="3">
        <v>31875</v>
      </c>
      <c r="K414" s="3">
        <v>21037.5</v>
      </c>
      <c r="L414" s="3">
        <v>10837.5</v>
      </c>
    </row>
    <row r="415" spans="1:12" x14ac:dyDescent="0.35">
      <c r="A415" s="1" t="s">
        <v>854</v>
      </c>
      <c r="B415" s="4">
        <v>45821</v>
      </c>
      <c r="C415" s="1" t="s">
        <v>855</v>
      </c>
      <c r="D415" s="1" t="s">
        <v>17</v>
      </c>
      <c r="E415" s="1" t="s">
        <v>27</v>
      </c>
      <c r="F415" s="1" t="s">
        <v>32</v>
      </c>
      <c r="G415" s="1">
        <v>3</v>
      </c>
      <c r="H415" s="1">
        <v>15000</v>
      </c>
      <c r="I415" s="1">
        <v>0.05</v>
      </c>
      <c r="J415" s="1">
        <v>42750</v>
      </c>
      <c r="K415" s="1">
        <v>29925</v>
      </c>
      <c r="L415" s="1">
        <v>12825</v>
      </c>
    </row>
    <row r="416" spans="1:12" x14ac:dyDescent="0.35">
      <c r="A416" s="3" t="s">
        <v>856</v>
      </c>
      <c r="B416" s="2">
        <v>45841</v>
      </c>
      <c r="C416" s="3" t="s">
        <v>857</v>
      </c>
      <c r="D416" s="3" t="s">
        <v>31</v>
      </c>
      <c r="E416" s="3" t="s">
        <v>23</v>
      </c>
      <c r="F416" s="3" t="s">
        <v>51</v>
      </c>
      <c r="G416" s="3">
        <v>1</v>
      </c>
      <c r="H416" s="3">
        <v>4500</v>
      </c>
      <c r="I416" s="3">
        <v>0.02</v>
      </c>
      <c r="J416" s="3">
        <v>4410</v>
      </c>
      <c r="K416" s="3">
        <v>2734.2</v>
      </c>
      <c r="L416" s="3">
        <v>1675.8000000000002</v>
      </c>
    </row>
    <row r="417" spans="1:12" x14ac:dyDescent="0.35">
      <c r="A417" s="1" t="s">
        <v>858</v>
      </c>
      <c r="B417" s="4">
        <v>45700</v>
      </c>
      <c r="C417" s="1" t="s">
        <v>859</v>
      </c>
      <c r="D417" s="1" t="s">
        <v>12</v>
      </c>
      <c r="E417" s="1" t="s">
        <v>23</v>
      </c>
      <c r="F417" s="1" t="s">
        <v>51</v>
      </c>
      <c r="G417" s="1">
        <v>5</v>
      </c>
      <c r="H417" s="1">
        <v>4500</v>
      </c>
      <c r="I417" s="1">
        <v>0.08</v>
      </c>
      <c r="J417" s="1">
        <v>20700</v>
      </c>
      <c r="K417" s="1">
        <v>15318</v>
      </c>
      <c r="L417" s="1">
        <v>5382</v>
      </c>
    </row>
    <row r="418" spans="1:12" x14ac:dyDescent="0.35">
      <c r="A418" s="3" t="s">
        <v>860</v>
      </c>
      <c r="B418" s="2">
        <v>45660</v>
      </c>
      <c r="C418" s="3" t="s">
        <v>861</v>
      </c>
      <c r="D418" s="3" t="s">
        <v>12</v>
      </c>
      <c r="E418" s="3" t="s">
        <v>27</v>
      </c>
      <c r="F418" s="3" t="s">
        <v>28</v>
      </c>
      <c r="G418" s="3">
        <v>6</v>
      </c>
      <c r="H418" s="3">
        <v>18000</v>
      </c>
      <c r="I418" s="3">
        <v>0</v>
      </c>
      <c r="J418" s="3">
        <v>108000</v>
      </c>
      <c r="K418" s="3">
        <v>69120</v>
      </c>
      <c r="L418" s="3">
        <v>38880</v>
      </c>
    </row>
    <row r="419" spans="1:12" x14ac:dyDescent="0.35">
      <c r="A419" s="1" t="s">
        <v>862</v>
      </c>
      <c r="B419" s="4">
        <v>45890</v>
      </c>
      <c r="C419" s="1" t="s">
        <v>863</v>
      </c>
      <c r="D419" s="1" t="s">
        <v>22</v>
      </c>
      <c r="E419" s="1" t="s">
        <v>13</v>
      </c>
      <c r="F419" s="1" t="s">
        <v>70</v>
      </c>
      <c r="G419" s="1">
        <v>1</v>
      </c>
      <c r="H419" s="1">
        <v>28000</v>
      </c>
      <c r="I419" s="1">
        <v>0.08</v>
      </c>
      <c r="J419" s="1">
        <v>25760</v>
      </c>
      <c r="K419" s="1">
        <v>20608</v>
      </c>
      <c r="L419" s="1">
        <v>5152</v>
      </c>
    </row>
    <row r="420" spans="1:12" x14ac:dyDescent="0.35">
      <c r="A420" s="3" t="s">
        <v>864</v>
      </c>
      <c r="B420" s="2">
        <v>45914</v>
      </c>
      <c r="C420" s="3" t="s">
        <v>865</v>
      </c>
      <c r="D420" s="3" t="s">
        <v>31</v>
      </c>
      <c r="E420" s="3" t="s">
        <v>27</v>
      </c>
      <c r="F420" s="3" t="s">
        <v>14</v>
      </c>
      <c r="G420" s="3">
        <v>5</v>
      </c>
      <c r="H420" s="3">
        <v>65000</v>
      </c>
      <c r="I420" s="3">
        <v>0.15</v>
      </c>
      <c r="J420" s="3">
        <v>276250</v>
      </c>
      <c r="K420" s="3">
        <v>198900</v>
      </c>
      <c r="L420" s="3">
        <v>77350</v>
      </c>
    </row>
    <row r="421" spans="1:12" x14ac:dyDescent="0.35">
      <c r="A421" s="1" t="s">
        <v>866</v>
      </c>
      <c r="B421" s="4">
        <v>45694</v>
      </c>
      <c r="C421" s="1" t="s">
        <v>867</v>
      </c>
      <c r="D421" s="1" t="s">
        <v>12</v>
      </c>
      <c r="E421" s="1" t="s">
        <v>27</v>
      </c>
      <c r="F421" s="1" t="s">
        <v>28</v>
      </c>
      <c r="G421" s="1">
        <v>4</v>
      </c>
      <c r="H421" s="1">
        <v>18000</v>
      </c>
      <c r="I421" s="1">
        <v>0.15</v>
      </c>
      <c r="J421" s="1">
        <v>61200</v>
      </c>
      <c r="K421" s="1">
        <v>40392</v>
      </c>
      <c r="L421" s="1">
        <v>20808</v>
      </c>
    </row>
    <row r="422" spans="1:12" x14ac:dyDescent="0.35">
      <c r="A422" s="3" t="s">
        <v>868</v>
      </c>
      <c r="B422" s="2">
        <v>45834</v>
      </c>
      <c r="C422" s="3" t="s">
        <v>869</v>
      </c>
      <c r="D422" s="3" t="s">
        <v>17</v>
      </c>
      <c r="E422" s="3" t="s">
        <v>18</v>
      </c>
      <c r="F422" s="3" t="s">
        <v>28</v>
      </c>
      <c r="G422" s="3">
        <v>1</v>
      </c>
      <c r="H422" s="3">
        <v>18000</v>
      </c>
      <c r="I422" s="3">
        <v>0</v>
      </c>
      <c r="J422" s="3">
        <v>18000</v>
      </c>
      <c r="K422" s="3">
        <v>13680</v>
      </c>
      <c r="L422" s="3">
        <v>4320</v>
      </c>
    </row>
    <row r="423" spans="1:12" x14ac:dyDescent="0.35">
      <c r="A423" s="1" t="s">
        <v>870</v>
      </c>
      <c r="B423" s="4">
        <v>46009</v>
      </c>
      <c r="C423" s="1" t="s">
        <v>871</v>
      </c>
      <c r="D423" s="1" t="s">
        <v>31</v>
      </c>
      <c r="E423" s="1" t="s">
        <v>18</v>
      </c>
      <c r="F423" s="1" t="s">
        <v>39</v>
      </c>
      <c r="G423" s="1">
        <v>9</v>
      </c>
      <c r="H423" s="1">
        <v>250</v>
      </c>
      <c r="I423" s="1">
        <v>0.05</v>
      </c>
      <c r="J423" s="1">
        <v>2137.5</v>
      </c>
      <c r="K423" s="1">
        <v>1667.25</v>
      </c>
      <c r="L423" s="1">
        <v>470.25</v>
      </c>
    </row>
    <row r="424" spans="1:12" x14ac:dyDescent="0.35">
      <c r="A424" s="3" t="s">
        <v>872</v>
      </c>
      <c r="B424" s="2">
        <v>45916</v>
      </c>
      <c r="C424" s="3" t="s">
        <v>873</v>
      </c>
      <c r="D424" s="3" t="s">
        <v>12</v>
      </c>
      <c r="E424" s="3" t="s">
        <v>27</v>
      </c>
      <c r="F424" s="3" t="s">
        <v>14</v>
      </c>
      <c r="G424" s="3">
        <v>5</v>
      </c>
      <c r="H424" s="3">
        <v>65000</v>
      </c>
      <c r="I424" s="3">
        <v>0</v>
      </c>
      <c r="J424" s="3">
        <v>325000</v>
      </c>
      <c r="K424" s="3">
        <v>230750</v>
      </c>
      <c r="L424" s="3">
        <v>94250</v>
      </c>
    </row>
    <row r="425" spans="1:12" x14ac:dyDescent="0.35">
      <c r="A425" s="1" t="s">
        <v>874</v>
      </c>
      <c r="B425" s="4">
        <v>45968</v>
      </c>
      <c r="C425" s="1" t="s">
        <v>875</v>
      </c>
      <c r="D425" s="1" t="s">
        <v>22</v>
      </c>
      <c r="E425" s="1" t="s">
        <v>23</v>
      </c>
      <c r="F425" s="1" t="s">
        <v>39</v>
      </c>
      <c r="G425" s="1">
        <v>3</v>
      </c>
      <c r="H425" s="1">
        <v>250</v>
      </c>
      <c r="I425" s="1">
        <v>0</v>
      </c>
      <c r="J425" s="1">
        <v>750</v>
      </c>
      <c r="K425" s="1">
        <v>457.5</v>
      </c>
      <c r="L425" s="1">
        <v>292.5</v>
      </c>
    </row>
    <row r="426" spans="1:12" x14ac:dyDescent="0.35">
      <c r="A426" s="3" t="s">
        <v>876</v>
      </c>
      <c r="B426" s="2">
        <v>45783</v>
      </c>
      <c r="C426" s="3" t="s">
        <v>877</v>
      </c>
      <c r="D426" s="3" t="s">
        <v>22</v>
      </c>
      <c r="E426" s="3" t="s">
        <v>27</v>
      </c>
      <c r="F426" s="3" t="s">
        <v>51</v>
      </c>
      <c r="G426" s="3">
        <v>10</v>
      </c>
      <c r="H426" s="3">
        <v>4500</v>
      </c>
      <c r="I426" s="3">
        <v>0.08</v>
      </c>
      <c r="J426" s="3">
        <v>41400</v>
      </c>
      <c r="K426" s="3">
        <v>33120</v>
      </c>
      <c r="L426" s="3">
        <v>8280</v>
      </c>
    </row>
    <row r="427" spans="1:12" x14ac:dyDescent="0.35">
      <c r="A427" s="1" t="s">
        <v>878</v>
      </c>
      <c r="B427" s="4">
        <v>45766</v>
      </c>
      <c r="C427" s="1" t="s">
        <v>879</v>
      </c>
      <c r="D427" s="1" t="s">
        <v>12</v>
      </c>
      <c r="E427" s="1" t="s">
        <v>13</v>
      </c>
      <c r="F427" s="1" t="s">
        <v>24</v>
      </c>
      <c r="G427" s="1">
        <v>10</v>
      </c>
      <c r="H427" s="1">
        <v>2200</v>
      </c>
      <c r="I427" s="1">
        <v>0.1</v>
      </c>
      <c r="J427" s="1">
        <v>19800</v>
      </c>
      <c r="K427" s="1">
        <v>14850</v>
      </c>
      <c r="L427" s="1">
        <v>4950</v>
      </c>
    </row>
    <row r="428" spans="1:12" x14ac:dyDescent="0.35">
      <c r="A428" s="3" t="s">
        <v>880</v>
      </c>
      <c r="B428" s="2">
        <v>45908</v>
      </c>
      <c r="C428" s="3" t="s">
        <v>881</v>
      </c>
      <c r="D428" s="3" t="s">
        <v>22</v>
      </c>
      <c r="E428" s="3" t="s">
        <v>13</v>
      </c>
      <c r="F428" s="3" t="s">
        <v>19</v>
      </c>
      <c r="G428" s="3">
        <v>10</v>
      </c>
      <c r="H428" s="3">
        <v>1800</v>
      </c>
      <c r="I428" s="3">
        <v>0</v>
      </c>
      <c r="J428" s="3">
        <v>18000</v>
      </c>
      <c r="K428" s="3">
        <v>14040</v>
      </c>
      <c r="L428" s="3">
        <v>3960</v>
      </c>
    </row>
    <row r="429" spans="1:12" x14ac:dyDescent="0.35">
      <c r="A429" s="1" t="s">
        <v>882</v>
      </c>
      <c r="B429" s="4">
        <v>45790</v>
      </c>
      <c r="C429" s="1" t="s">
        <v>883</v>
      </c>
      <c r="D429" s="1" t="s">
        <v>31</v>
      </c>
      <c r="E429" s="1" t="s">
        <v>23</v>
      </c>
      <c r="F429" s="1" t="s">
        <v>32</v>
      </c>
      <c r="G429" s="1">
        <v>7</v>
      </c>
      <c r="H429" s="1">
        <v>15000</v>
      </c>
      <c r="I429" s="1">
        <v>0.1</v>
      </c>
      <c r="J429" s="1">
        <v>94500</v>
      </c>
      <c r="K429" s="1">
        <v>75600</v>
      </c>
      <c r="L429" s="1">
        <v>18900</v>
      </c>
    </row>
    <row r="430" spans="1:12" x14ac:dyDescent="0.35">
      <c r="A430" s="3" t="s">
        <v>884</v>
      </c>
      <c r="B430" s="2">
        <v>45775</v>
      </c>
      <c r="C430" s="3" t="s">
        <v>885</v>
      </c>
      <c r="D430" s="3" t="s">
        <v>17</v>
      </c>
      <c r="E430" s="3" t="s">
        <v>23</v>
      </c>
      <c r="F430" s="3" t="s">
        <v>19</v>
      </c>
      <c r="G430" s="3">
        <v>3</v>
      </c>
      <c r="H430" s="3">
        <v>1800</v>
      </c>
      <c r="I430" s="3">
        <v>0.02</v>
      </c>
      <c r="J430" s="3">
        <v>5292</v>
      </c>
      <c r="K430" s="3">
        <v>3281.04</v>
      </c>
      <c r="L430" s="3">
        <v>2010.96</v>
      </c>
    </row>
    <row r="431" spans="1:12" x14ac:dyDescent="0.35">
      <c r="A431" s="1" t="s">
        <v>886</v>
      </c>
      <c r="B431" s="4">
        <v>45739</v>
      </c>
      <c r="C431" s="1" t="s">
        <v>887</v>
      </c>
      <c r="D431" s="1" t="s">
        <v>17</v>
      </c>
      <c r="E431" s="1" t="s">
        <v>27</v>
      </c>
      <c r="F431" s="1" t="s">
        <v>28</v>
      </c>
      <c r="G431" s="1">
        <v>7</v>
      </c>
      <c r="H431" s="1">
        <v>18000</v>
      </c>
      <c r="I431" s="1">
        <v>0.15</v>
      </c>
      <c r="J431" s="1">
        <v>107100</v>
      </c>
      <c r="K431" s="1">
        <v>72828</v>
      </c>
      <c r="L431" s="1">
        <v>34272</v>
      </c>
    </row>
    <row r="432" spans="1:12" x14ac:dyDescent="0.35">
      <c r="A432" s="3" t="s">
        <v>888</v>
      </c>
      <c r="B432" s="2">
        <v>46007</v>
      </c>
      <c r="C432" s="3" t="s">
        <v>889</v>
      </c>
      <c r="D432" s="3" t="s">
        <v>17</v>
      </c>
      <c r="E432" s="3" t="s">
        <v>27</v>
      </c>
      <c r="F432" s="3" t="s">
        <v>28</v>
      </c>
      <c r="G432" s="3">
        <v>7</v>
      </c>
      <c r="H432" s="3">
        <v>18000</v>
      </c>
      <c r="I432" s="3">
        <v>0.02</v>
      </c>
      <c r="J432" s="3">
        <v>123480</v>
      </c>
      <c r="K432" s="3">
        <v>96314.4</v>
      </c>
      <c r="L432" s="3">
        <v>27165.600000000006</v>
      </c>
    </row>
    <row r="433" spans="1:12" x14ac:dyDescent="0.35">
      <c r="A433" s="1" t="s">
        <v>890</v>
      </c>
      <c r="B433" s="4">
        <v>46011</v>
      </c>
      <c r="C433" s="1" t="s">
        <v>891</v>
      </c>
      <c r="D433" s="1" t="s">
        <v>12</v>
      </c>
      <c r="E433" s="1" t="s">
        <v>18</v>
      </c>
      <c r="F433" s="1" t="s">
        <v>19</v>
      </c>
      <c r="G433" s="1">
        <v>1</v>
      </c>
      <c r="H433" s="1">
        <v>1800</v>
      </c>
      <c r="I433" s="1">
        <v>0.15</v>
      </c>
      <c r="J433" s="1">
        <v>1530</v>
      </c>
      <c r="K433" s="1">
        <v>1009.8</v>
      </c>
      <c r="L433" s="1">
        <v>520.20000000000005</v>
      </c>
    </row>
    <row r="434" spans="1:12" x14ac:dyDescent="0.35">
      <c r="A434" s="3" t="s">
        <v>892</v>
      </c>
      <c r="B434" s="2">
        <v>45915</v>
      </c>
      <c r="C434" s="3" t="s">
        <v>893</v>
      </c>
      <c r="D434" s="3" t="s">
        <v>31</v>
      </c>
      <c r="E434" s="3" t="s">
        <v>23</v>
      </c>
      <c r="F434" s="3" t="s">
        <v>44</v>
      </c>
      <c r="G434" s="3">
        <v>6</v>
      </c>
      <c r="H434" s="3">
        <v>12500</v>
      </c>
      <c r="I434" s="3">
        <v>0.05</v>
      </c>
      <c r="J434" s="3">
        <v>71250</v>
      </c>
      <c r="K434" s="3">
        <v>45600</v>
      </c>
      <c r="L434" s="3">
        <v>25650</v>
      </c>
    </row>
    <row r="435" spans="1:12" x14ac:dyDescent="0.35">
      <c r="A435" s="1" t="s">
        <v>894</v>
      </c>
      <c r="B435" s="4">
        <v>45827</v>
      </c>
      <c r="C435" s="1" t="s">
        <v>895</v>
      </c>
      <c r="D435" s="1" t="s">
        <v>22</v>
      </c>
      <c r="E435" s="1" t="s">
        <v>27</v>
      </c>
      <c r="F435" s="1" t="s">
        <v>24</v>
      </c>
      <c r="G435" s="1">
        <v>3</v>
      </c>
      <c r="H435" s="1">
        <v>2200</v>
      </c>
      <c r="I435" s="1">
        <v>0.08</v>
      </c>
      <c r="J435" s="1">
        <v>6072</v>
      </c>
      <c r="K435" s="1">
        <v>4007.52</v>
      </c>
      <c r="L435" s="1">
        <v>2064.48</v>
      </c>
    </row>
    <row r="436" spans="1:12" x14ac:dyDescent="0.35">
      <c r="A436" s="3" t="s">
        <v>896</v>
      </c>
      <c r="B436" s="2">
        <v>45784</v>
      </c>
      <c r="C436" s="3" t="s">
        <v>897</v>
      </c>
      <c r="D436" s="3" t="s">
        <v>22</v>
      </c>
      <c r="E436" s="3" t="s">
        <v>13</v>
      </c>
      <c r="F436" s="3" t="s">
        <v>14</v>
      </c>
      <c r="G436" s="3">
        <v>7</v>
      </c>
      <c r="H436" s="3">
        <v>65000</v>
      </c>
      <c r="I436" s="3">
        <v>0.1</v>
      </c>
      <c r="J436" s="3">
        <v>409500</v>
      </c>
      <c r="K436" s="3">
        <v>307125</v>
      </c>
      <c r="L436" s="3">
        <v>102375</v>
      </c>
    </row>
    <row r="437" spans="1:12" x14ac:dyDescent="0.35">
      <c r="A437" s="1" t="s">
        <v>898</v>
      </c>
      <c r="B437" s="4">
        <v>45947</v>
      </c>
      <c r="C437" s="1" t="s">
        <v>899</v>
      </c>
      <c r="D437" s="1" t="s">
        <v>17</v>
      </c>
      <c r="E437" s="1" t="s">
        <v>23</v>
      </c>
      <c r="F437" s="1" t="s">
        <v>24</v>
      </c>
      <c r="G437" s="1">
        <v>6</v>
      </c>
      <c r="H437" s="1">
        <v>2200</v>
      </c>
      <c r="I437" s="1">
        <v>0</v>
      </c>
      <c r="J437" s="1">
        <v>13200</v>
      </c>
      <c r="K437" s="1">
        <v>10428</v>
      </c>
      <c r="L437" s="1">
        <v>2772</v>
      </c>
    </row>
    <row r="438" spans="1:12" x14ac:dyDescent="0.35">
      <c r="A438" s="3" t="s">
        <v>900</v>
      </c>
      <c r="B438" s="2">
        <v>45858</v>
      </c>
      <c r="C438" s="3" t="s">
        <v>901</v>
      </c>
      <c r="D438" s="3" t="s">
        <v>31</v>
      </c>
      <c r="E438" s="3" t="s">
        <v>23</v>
      </c>
      <c r="F438" s="3" t="s">
        <v>44</v>
      </c>
      <c r="G438" s="3">
        <v>3</v>
      </c>
      <c r="H438" s="3">
        <v>12500</v>
      </c>
      <c r="I438" s="3">
        <v>0.05</v>
      </c>
      <c r="J438" s="3">
        <v>35625</v>
      </c>
      <c r="K438" s="3">
        <v>28500</v>
      </c>
      <c r="L438" s="3">
        <v>7125</v>
      </c>
    </row>
    <row r="439" spans="1:12" x14ac:dyDescent="0.35">
      <c r="A439" s="1" t="s">
        <v>902</v>
      </c>
      <c r="B439" s="4">
        <v>45921</v>
      </c>
      <c r="C439" s="1" t="s">
        <v>903</v>
      </c>
      <c r="D439" s="1" t="s">
        <v>31</v>
      </c>
      <c r="E439" s="1" t="s">
        <v>13</v>
      </c>
      <c r="F439" s="1" t="s">
        <v>81</v>
      </c>
      <c r="G439" s="1">
        <v>3</v>
      </c>
      <c r="H439" s="1">
        <v>9500</v>
      </c>
      <c r="I439" s="1">
        <v>0</v>
      </c>
      <c r="J439" s="1">
        <v>28500</v>
      </c>
      <c r="K439" s="1">
        <v>21945</v>
      </c>
      <c r="L439" s="1">
        <v>6555</v>
      </c>
    </row>
    <row r="440" spans="1:12" x14ac:dyDescent="0.35">
      <c r="A440" s="3" t="s">
        <v>904</v>
      </c>
      <c r="B440" s="2">
        <v>45856</v>
      </c>
      <c r="C440" s="3" t="s">
        <v>905</v>
      </c>
      <c r="D440" s="3" t="s">
        <v>17</v>
      </c>
      <c r="E440" s="3" t="s">
        <v>23</v>
      </c>
      <c r="F440" s="3" t="s">
        <v>28</v>
      </c>
      <c r="G440" s="3">
        <v>7</v>
      </c>
      <c r="H440" s="3">
        <v>18000</v>
      </c>
      <c r="I440" s="3">
        <v>0.05</v>
      </c>
      <c r="J440" s="3">
        <v>119700</v>
      </c>
      <c r="K440" s="3">
        <v>80199</v>
      </c>
      <c r="L440" s="3">
        <v>39501</v>
      </c>
    </row>
    <row r="441" spans="1:12" x14ac:dyDescent="0.35">
      <c r="A441" s="1" t="s">
        <v>906</v>
      </c>
      <c r="B441" s="4">
        <v>45811</v>
      </c>
      <c r="C441" s="1" t="s">
        <v>907</v>
      </c>
      <c r="D441" s="1" t="s">
        <v>22</v>
      </c>
      <c r="E441" s="1" t="s">
        <v>27</v>
      </c>
      <c r="F441" s="1" t="s">
        <v>51</v>
      </c>
      <c r="G441" s="1">
        <v>7</v>
      </c>
      <c r="H441" s="1">
        <v>4500</v>
      </c>
      <c r="I441" s="1">
        <v>0.08</v>
      </c>
      <c r="J441" s="1">
        <v>28980</v>
      </c>
      <c r="K441" s="1">
        <v>17967.599999999999</v>
      </c>
      <c r="L441" s="1">
        <v>11012.400000000001</v>
      </c>
    </row>
    <row r="442" spans="1:12" x14ac:dyDescent="0.35">
      <c r="A442" s="3" t="s">
        <v>908</v>
      </c>
      <c r="B442" s="2">
        <v>46019</v>
      </c>
      <c r="C442" s="3" t="s">
        <v>909</v>
      </c>
      <c r="D442" s="3" t="s">
        <v>31</v>
      </c>
      <c r="E442" s="3" t="s">
        <v>13</v>
      </c>
      <c r="F442" s="3" t="s">
        <v>70</v>
      </c>
      <c r="G442" s="3">
        <v>6</v>
      </c>
      <c r="H442" s="3">
        <v>28000</v>
      </c>
      <c r="I442" s="3">
        <v>0.15</v>
      </c>
      <c r="J442" s="3">
        <v>142800</v>
      </c>
      <c r="K442" s="3">
        <v>102816</v>
      </c>
      <c r="L442" s="3">
        <v>39984</v>
      </c>
    </row>
    <row r="443" spans="1:12" x14ac:dyDescent="0.35">
      <c r="A443" s="1" t="s">
        <v>910</v>
      </c>
      <c r="B443" s="4">
        <v>45843</v>
      </c>
      <c r="C443" s="1" t="s">
        <v>911</v>
      </c>
      <c r="D443" s="1" t="s">
        <v>17</v>
      </c>
      <c r="E443" s="1" t="s">
        <v>13</v>
      </c>
      <c r="F443" s="1" t="s">
        <v>70</v>
      </c>
      <c r="G443" s="1">
        <v>10</v>
      </c>
      <c r="H443" s="1">
        <v>28000</v>
      </c>
      <c r="I443" s="1">
        <v>0.1</v>
      </c>
      <c r="J443" s="1">
        <v>252000</v>
      </c>
      <c r="K443" s="1">
        <v>176400</v>
      </c>
      <c r="L443" s="1">
        <v>75600</v>
      </c>
    </row>
    <row r="444" spans="1:12" x14ac:dyDescent="0.35">
      <c r="A444" s="3" t="s">
        <v>912</v>
      </c>
      <c r="B444" s="2">
        <v>45994</v>
      </c>
      <c r="C444" s="3" t="s">
        <v>913</v>
      </c>
      <c r="D444" s="3" t="s">
        <v>31</v>
      </c>
      <c r="E444" s="3" t="s">
        <v>18</v>
      </c>
      <c r="F444" s="3" t="s">
        <v>19</v>
      </c>
      <c r="G444" s="3">
        <v>1</v>
      </c>
      <c r="H444" s="3">
        <v>1800</v>
      </c>
      <c r="I444" s="3">
        <v>0.08</v>
      </c>
      <c r="J444" s="3">
        <v>1656</v>
      </c>
      <c r="K444" s="3">
        <v>1043.28</v>
      </c>
      <c r="L444" s="3">
        <v>612.72</v>
      </c>
    </row>
    <row r="445" spans="1:12" x14ac:dyDescent="0.35">
      <c r="A445" s="1" t="s">
        <v>914</v>
      </c>
      <c r="B445" s="4">
        <v>45886</v>
      </c>
      <c r="C445" s="1" t="s">
        <v>915</v>
      </c>
      <c r="D445" s="1" t="s">
        <v>31</v>
      </c>
      <c r="E445" s="1" t="s">
        <v>13</v>
      </c>
      <c r="F445" s="1" t="s">
        <v>81</v>
      </c>
      <c r="G445" s="1">
        <v>6</v>
      </c>
      <c r="H445" s="1">
        <v>9500</v>
      </c>
      <c r="I445" s="1">
        <v>0.05</v>
      </c>
      <c r="J445" s="1">
        <v>54150</v>
      </c>
      <c r="K445" s="1">
        <v>39529.5</v>
      </c>
      <c r="L445" s="1">
        <v>14620.5</v>
      </c>
    </row>
    <row r="446" spans="1:12" x14ac:dyDescent="0.35">
      <c r="A446" s="3" t="s">
        <v>916</v>
      </c>
      <c r="B446" s="2">
        <v>45683</v>
      </c>
      <c r="C446" s="3" t="s">
        <v>917</v>
      </c>
      <c r="D446" s="3" t="s">
        <v>12</v>
      </c>
      <c r="E446" s="3" t="s">
        <v>13</v>
      </c>
      <c r="F446" s="3" t="s">
        <v>19</v>
      </c>
      <c r="G446" s="3">
        <v>6</v>
      </c>
      <c r="H446" s="3">
        <v>1800</v>
      </c>
      <c r="I446" s="3">
        <v>0.1</v>
      </c>
      <c r="J446" s="3">
        <v>9720</v>
      </c>
      <c r="K446" s="3">
        <v>6609.6</v>
      </c>
      <c r="L446" s="3">
        <v>3110.3999999999996</v>
      </c>
    </row>
    <row r="447" spans="1:12" x14ac:dyDescent="0.35">
      <c r="A447" s="1" t="s">
        <v>918</v>
      </c>
      <c r="B447" s="4">
        <v>45840</v>
      </c>
      <c r="C447" s="1" t="s">
        <v>919</v>
      </c>
      <c r="D447" s="1" t="s">
        <v>31</v>
      </c>
      <c r="E447" s="1" t="s">
        <v>13</v>
      </c>
      <c r="F447" s="1" t="s">
        <v>28</v>
      </c>
      <c r="G447" s="1">
        <v>6</v>
      </c>
      <c r="H447" s="1">
        <v>18000</v>
      </c>
      <c r="I447" s="1">
        <v>0.02</v>
      </c>
      <c r="J447" s="1">
        <v>105840</v>
      </c>
      <c r="K447" s="1">
        <v>66679.199999999997</v>
      </c>
      <c r="L447" s="1">
        <v>39160.800000000003</v>
      </c>
    </row>
    <row r="448" spans="1:12" x14ac:dyDescent="0.35">
      <c r="A448" s="3" t="s">
        <v>920</v>
      </c>
      <c r="B448" s="2">
        <v>45946</v>
      </c>
      <c r="C448" s="3" t="s">
        <v>921</v>
      </c>
      <c r="D448" s="3" t="s">
        <v>12</v>
      </c>
      <c r="E448" s="3" t="s">
        <v>13</v>
      </c>
      <c r="F448" s="3" t="s">
        <v>19</v>
      </c>
      <c r="G448" s="3">
        <v>3</v>
      </c>
      <c r="H448" s="3">
        <v>1800</v>
      </c>
      <c r="I448" s="3">
        <v>0.1</v>
      </c>
      <c r="J448" s="3">
        <v>4860</v>
      </c>
      <c r="K448" s="3">
        <v>3790.8</v>
      </c>
      <c r="L448" s="3">
        <v>1069.1999999999998</v>
      </c>
    </row>
    <row r="449" spans="1:12" x14ac:dyDescent="0.35">
      <c r="A449" s="1" t="s">
        <v>922</v>
      </c>
      <c r="B449" s="4">
        <v>45852</v>
      </c>
      <c r="C449" s="1" t="s">
        <v>923</v>
      </c>
      <c r="D449" s="1" t="s">
        <v>17</v>
      </c>
      <c r="E449" s="1" t="s">
        <v>18</v>
      </c>
      <c r="F449" s="1" t="s">
        <v>39</v>
      </c>
      <c r="G449" s="1">
        <v>2</v>
      </c>
      <c r="H449" s="1">
        <v>250</v>
      </c>
      <c r="I449" s="1">
        <v>0.05</v>
      </c>
      <c r="J449" s="1">
        <v>475</v>
      </c>
      <c r="K449" s="1">
        <v>308.75</v>
      </c>
      <c r="L449" s="1">
        <v>166.25</v>
      </c>
    </row>
    <row r="450" spans="1:12" x14ac:dyDescent="0.35">
      <c r="A450" s="3" t="s">
        <v>924</v>
      </c>
      <c r="B450" s="2">
        <v>45826</v>
      </c>
      <c r="C450" s="3" t="s">
        <v>925</v>
      </c>
      <c r="D450" s="3" t="s">
        <v>17</v>
      </c>
      <c r="E450" s="3" t="s">
        <v>23</v>
      </c>
      <c r="F450" s="3" t="s">
        <v>28</v>
      </c>
      <c r="G450" s="3">
        <v>3</v>
      </c>
      <c r="H450" s="3">
        <v>18000</v>
      </c>
      <c r="I450" s="3">
        <v>0.08</v>
      </c>
      <c r="J450" s="3">
        <v>49680</v>
      </c>
      <c r="K450" s="3">
        <v>36763.199999999997</v>
      </c>
      <c r="L450" s="3">
        <v>12916.800000000003</v>
      </c>
    </row>
    <row r="451" spans="1:12" x14ac:dyDescent="0.35">
      <c r="A451" s="1" t="s">
        <v>926</v>
      </c>
      <c r="B451" s="4">
        <v>45901</v>
      </c>
      <c r="C451" s="1" t="s">
        <v>927</v>
      </c>
      <c r="D451" s="1" t="s">
        <v>17</v>
      </c>
      <c r="E451" s="1" t="s">
        <v>27</v>
      </c>
      <c r="F451" s="1" t="s">
        <v>81</v>
      </c>
      <c r="G451" s="1">
        <v>5</v>
      </c>
      <c r="H451" s="1">
        <v>9500</v>
      </c>
      <c r="I451" s="1">
        <v>0.02</v>
      </c>
      <c r="J451" s="1">
        <v>46550</v>
      </c>
      <c r="K451" s="1">
        <v>27930</v>
      </c>
      <c r="L451" s="1">
        <v>18620</v>
      </c>
    </row>
    <row r="452" spans="1:12" x14ac:dyDescent="0.35">
      <c r="A452" s="3" t="s">
        <v>928</v>
      </c>
      <c r="B452" s="2">
        <v>45992</v>
      </c>
      <c r="C452" s="3" t="s">
        <v>929</v>
      </c>
      <c r="D452" s="3" t="s">
        <v>12</v>
      </c>
      <c r="E452" s="3" t="s">
        <v>23</v>
      </c>
      <c r="F452" s="3" t="s">
        <v>14</v>
      </c>
      <c r="G452" s="3">
        <v>8</v>
      </c>
      <c r="H452" s="3">
        <v>65000</v>
      </c>
      <c r="I452" s="3">
        <v>0.1</v>
      </c>
      <c r="J452" s="3">
        <v>468000</v>
      </c>
      <c r="K452" s="3">
        <v>355680</v>
      </c>
      <c r="L452" s="3">
        <v>112320</v>
      </c>
    </row>
    <row r="453" spans="1:12" x14ac:dyDescent="0.35">
      <c r="A453" s="1" t="s">
        <v>930</v>
      </c>
      <c r="B453" s="4">
        <v>46012</v>
      </c>
      <c r="C453" s="1" t="s">
        <v>931</v>
      </c>
      <c r="D453" s="1" t="s">
        <v>12</v>
      </c>
      <c r="E453" s="1" t="s">
        <v>18</v>
      </c>
      <c r="F453" s="1" t="s">
        <v>70</v>
      </c>
      <c r="G453" s="1">
        <v>8</v>
      </c>
      <c r="H453" s="1">
        <v>28000</v>
      </c>
      <c r="I453" s="1">
        <v>0.08</v>
      </c>
      <c r="J453" s="1">
        <v>206080</v>
      </c>
      <c r="K453" s="1">
        <v>150438.39999999999</v>
      </c>
      <c r="L453" s="1">
        <v>55641.600000000006</v>
      </c>
    </row>
    <row r="454" spans="1:12" x14ac:dyDescent="0.35">
      <c r="A454" s="3" t="s">
        <v>932</v>
      </c>
      <c r="B454" s="2">
        <v>45920</v>
      </c>
      <c r="C454" s="3" t="s">
        <v>933</v>
      </c>
      <c r="D454" s="3" t="s">
        <v>17</v>
      </c>
      <c r="E454" s="3" t="s">
        <v>13</v>
      </c>
      <c r="F454" s="3" t="s">
        <v>51</v>
      </c>
      <c r="G454" s="3">
        <v>4</v>
      </c>
      <c r="H454" s="3">
        <v>4500</v>
      </c>
      <c r="I454" s="3">
        <v>0.08</v>
      </c>
      <c r="J454" s="3">
        <v>16560</v>
      </c>
      <c r="K454" s="3">
        <v>11095.2</v>
      </c>
      <c r="L454" s="3">
        <v>5464.7999999999993</v>
      </c>
    </row>
    <row r="455" spans="1:12" x14ac:dyDescent="0.35">
      <c r="A455" s="1" t="s">
        <v>934</v>
      </c>
      <c r="B455" s="4">
        <v>45878</v>
      </c>
      <c r="C455" s="1" t="s">
        <v>935</v>
      </c>
      <c r="D455" s="1" t="s">
        <v>17</v>
      </c>
      <c r="E455" s="1" t="s">
        <v>23</v>
      </c>
      <c r="F455" s="1" t="s">
        <v>39</v>
      </c>
      <c r="G455" s="1">
        <v>4</v>
      </c>
      <c r="H455" s="1">
        <v>250</v>
      </c>
      <c r="I455" s="1">
        <v>0.08</v>
      </c>
      <c r="J455" s="1">
        <v>920</v>
      </c>
      <c r="K455" s="1">
        <v>680.8</v>
      </c>
      <c r="L455" s="1">
        <v>239.20000000000005</v>
      </c>
    </row>
    <row r="456" spans="1:12" x14ac:dyDescent="0.35">
      <c r="A456" s="3" t="s">
        <v>936</v>
      </c>
      <c r="B456" s="2">
        <v>45839</v>
      </c>
      <c r="C456" s="3" t="s">
        <v>937</v>
      </c>
      <c r="D456" s="3" t="s">
        <v>31</v>
      </c>
      <c r="E456" s="3" t="s">
        <v>18</v>
      </c>
      <c r="F456" s="3" t="s">
        <v>24</v>
      </c>
      <c r="G456" s="3">
        <v>2</v>
      </c>
      <c r="H456" s="3">
        <v>2200</v>
      </c>
      <c r="I456" s="3">
        <v>0.15</v>
      </c>
      <c r="J456" s="3">
        <v>3740</v>
      </c>
      <c r="K456" s="3">
        <v>2468.4</v>
      </c>
      <c r="L456" s="3">
        <v>1271.5999999999999</v>
      </c>
    </row>
    <row r="457" spans="1:12" x14ac:dyDescent="0.35">
      <c r="A457" s="1" t="s">
        <v>938</v>
      </c>
      <c r="B457" s="4">
        <v>45835</v>
      </c>
      <c r="C457" s="1" t="s">
        <v>939</v>
      </c>
      <c r="D457" s="1" t="s">
        <v>31</v>
      </c>
      <c r="E457" s="1" t="s">
        <v>27</v>
      </c>
      <c r="F457" s="1" t="s">
        <v>39</v>
      </c>
      <c r="G457" s="1">
        <v>5</v>
      </c>
      <c r="H457" s="1">
        <v>250</v>
      </c>
      <c r="I457" s="1">
        <v>0.02</v>
      </c>
      <c r="J457" s="1">
        <v>1225</v>
      </c>
      <c r="K457" s="1">
        <v>784</v>
      </c>
      <c r="L457" s="1">
        <v>441</v>
      </c>
    </row>
    <row r="458" spans="1:12" x14ac:dyDescent="0.35">
      <c r="A458" s="3" t="s">
        <v>940</v>
      </c>
      <c r="B458" s="2">
        <v>46005</v>
      </c>
      <c r="C458" s="3" t="s">
        <v>941</v>
      </c>
      <c r="D458" s="3" t="s">
        <v>22</v>
      </c>
      <c r="E458" s="3" t="s">
        <v>27</v>
      </c>
      <c r="F458" s="3" t="s">
        <v>19</v>
      </c>
      <c r="G458" s="3">
        <v>7</v>
      </c>
      <c r="H458" s="3">
        <v>1800</v>
      </c>
      <c r="I458" s="3">
        <v>0.02</v>
      </c>
      <c r="J458" s="3">
        <v>12348</v>
      </c>
      <c r="K458" s="3">
        <v>9384.48</v>
      </c>
      <c r="L458" s="3">
        <v>2963.5200000000004</v>
      </c>
    </row>
    <row r="459" spans="1:12" x14ac:dyDescent="0.35">
      <c r="A459" s="1" t="s">
        <v>942</v>
      </c>
      <c r="B459" s="4">
        <v>46006</v>
      </c>
      <c r="C459" s="1" t="s">
        <v>943</v>
      </c>
      <c r="D459" s="1" t="s">
        <v>17</v>
      </c>
      <c r="E459" s="1" t="s">
        <v>13</v>
      </c>
      <c r="F459" s="1" t="s">
        <v>39</v>
      </c>
      <c r="G459" s="1">
        <v>9</v>
      </c>
      <c r="H459" s="1">
        <v>250</v>
      </c>
      <c r="I459" s="1">
        <v>0</v>
      </c>
      <c r="J459" s="1">
        <v>2250</v>
      </c>
      <c r="K459" s="1">
        <v>1485</v>
      </c>
      <c r="L459" s="1">
        <v>765</v>
      </c>
    </row>
    <row r="460" spans="1:12" x14ac:dyDescent="0.35">
      <c r="A460" s="3" t="s">
        <v>944</v>
      </c>
      <c r="B460" s="2">
        <v>45700</v>
      </c>
      <c r="C460" s="3" t="s">
        <v>945</v>
      </c>
      <c r="D460" s="3" t="s">
        <v>31</v>
      </c>
      <c r="E460" s="3" t="s">
        <v>13</v>
      </c>
      <c r="F460" s="3" t="s">
        <v>14</v>
      </c>
      <c r="G460" s="3">
        <v>9</v>
      </c>
      <c r="H460" s="3">
        <v>65000</v>
      </c>
      <c r="I460" s="3">
        <v>0.1</v>
      </c>
      <c r="J460" s="3">
        <v>526500</v>
      </c>
      <c r="K460" s="3">
        <v>363285</v>
      </c>
      <c r="L460" s="3">
        <v>163215</v>
      </c>
    </row>
    <row r="461" spans="1:12" x14ac:dyDescent="0.35">
      <c r="A461" s="1" t="s">
        <v>946</v>
      </c>
      <c r="B461" s="4">
        <v>45743</v>
      </c>
      <c r="C461" s="1" t="s">
        <v>947</v>
      </c>
      <c r="D461" s="1" t="s">
        <v>22</v>
      </c>
      <c r="E461" s="1" t="s">
        <v>27</v>
      </c>
      <c r="F461" s="1" t="s">
        <v>51</v>
      </c>
      <c r="G461" s="1">
        <v>8</v>
      </c>
      <c r="H461" s="1">
        <v>4500</v>
      </c>
      <c r="I461" s="1">
        <v>0.02</v>
      </c>
      <c r="J461" s="1">
        <v>35280</v>
      </c>
      <c r="K461" s="1">
        <v>25048.799999999999</v>
      </c>
      <c r="L461" s="1">
        <v>10231.200000000001</v>
      </c>
    </row>
    <row r="462" spans="1:12" x14ac:dyDescent="0.35">
      <c r="A462" s="3" t="s">
        <v>948</v>
      </c>
      <c r="B462" s="2">
        <v>45803</v>
      </c>
      <c r="C462" s="3" t="s">
        <v>949</v>
      </c>
      <c r="D462" s="3" t="s">
        <v>22</v>
      </c>
      <c r="E462" s="3" t="s">
        <v>13</v>
      </c>
      <c r="F462" s="3" t="s">
        <v>44</v>
      </c>
      <c r="G462" s="3">
        <v>2</v>
      </c>
      <c r="H462" s="3">
        <v>12500</v>
      </c>
      <c r="I462" s="3">
        <v>0.02</v>
      </c>
      <c r="J462" s="3">
        <v>24500</v>
      </c>
      <c r="K462" s="3">
        <v>19355</v>
      </c>
      <c r="L462" s="3">
        <v>5145</v>
      </c>
    </row>
    <row r="463" spans="1:12" x14ac:dyDescent="0.35">
      <c r="A463" s="1" t="s">
        <v>950</v>
      </c>
      <c r="B463" s="4">
        <v>45749</v>
      </c>
      <c r="C463" s="1" t="s">
        <v>951</v>
      </c>
      <c r="D463" s="1" t="s">
        <v>17</v>
      </c>
      <c r="E463" s="1" t="s">
        <v>18</v>
      </c>
      <c r="F463" s="1" t="s">
        <v>44</v>
      </c>
      <c r="G463" s="1">
        <v>5</v>
      </c>
      <c r="H463" s="1">
        <v>12500</v>
      </c>
      <c r="I463" s="1">
        <v>0.02</v>
      </c>
      <c r="J463" s="1">
        <v>61250</v>
      </c>
      <c r="K463" s="1">
        <v>44100</v>
      </c>
      <c r="L463" s="1">
        <v>17150</v>
      </c>
    </row>
    <row r="464" spans="1:12" x14ac:dyDescent="0.35">
      <c r="A464" s="3" t="s">
        <v>952</v>
      </c>
      <c r="B464" s="2">
        <v>45791</v>
      </c>
      <c r="C464" s="3" t="s">
        <v>953</v>
      </c>
      <c r="D464" s="3" t="s">
        <v>22</v>
      </c>
      <c r="E464" s="3" t="s">
        <v>13</v>
      </c>
      <c r="F464" s="3" t="s">
        <v>70</v>
      </c>
      <c r="G464" s="3">
        <v>8</v>
      </c>
      <c r="H464" s="3">
        <v>28000</v>
      </c>
      <c r="I464" s="3">
        <v>0.02</v>
      </c>
      <c r="J464" s="3">
        <v>219520</v>
      </c>
      <c r="K464" s="3">
        <v>171225.60000000001</v>
      </c>
      <c r="L464" s="3">
        <v>48294.399999999994</v>
      </c>
    </row>
    <row r="465" spans="1:12" x14ac:dyDescent="0.35">
      <c r="A465" s="1" t="s">
        <v>954</v>
      </c>
      <c r="B465" s="4">
        <v>45819</v>
      </c>
      <c r="C465" s="1" t="s">
        <v>955</v>
      </c>
      <c r="D465" s="1" t="s">
        <v>31</v>
      </c>
      <c r="E465" s="1" t="s">
        <v>18</v>
      </c>
      <c r="F465" s="1" t="s">
        <v>44</v>
      </c>
      <c r="G465" s="1">
        <v>1</v>
      </c>
      <c r="H465" s="1">
        <v>12500</v>
      </c>
      <c r="I465" s="1">
        <v>0.08</v>
      </c>
      <c r="J465" s="1">
        <v>11500</v>
      </c>
      <c r="K465" s="1">
        <v>8855</v>
      </c>
      <c r="L465" s="1">
        <v>2645</v>
      </c>
    </row>
    <row r="466" spans="1:12" x14ac:dyDescent="0.35">
      <c r="A466" s="3" t="s">
        <v>956</v>
      </c>
      <c r="B466" s="2">
        <v>46017</v>
      </c>
      <c r="C466" s="3" t="s">
        <v>957</v>
      </c>
      <c r="D466" s="3" t="s">
        <v>17</v>
      </c>
      <c r="E466" s="3" t="s">
        <v>13</v>
      </c>
      <c r="F466" s="3" t="s">
        <v>51</v>
      </c>
      <c r="G466" s="3">
        <v>4</v>
      </c>
      <c r="H466" s="3">
        <v>4500</v>
      </c>
      <c r="I466" s="3">
        <v>0.1</v>
      </c>
      <c r="J466" s="3">
        <v>16200</v>
      </c>
      <c r="K466" s="3">
        <v>11826</v>
      </c>
      <c r="L466" s="3">
        <v>4374</v>
      </c>
    </row>
    <row r="467" spans="1:12" x14ac:dyDescent="0.35">
      <c r="A467" s="1" t="s">
        <v>958</v>
      </c>
      <c r="B467" s="4">
        <v>45874</v>
      </c>
      <c r="C467" s="1" t="s">
        <v>959</v>
      </c>
      <c r="D467" s="1" t="s">
        <v>17</v>
      </c>
      <c r="E467" s="1" t="s">
        <v>23</v>
      </c>
      <c r="F467" s="1" t="s">
        <v>14</v>
      </c>
      <c r="G467" s="1">
        <v>10</v>
      </c>
      <c r="H467" s="1">
        <v>65000</v>
      </c>
      <c r="I467" s="1">
        <v>0.1</v>
      </c>
      <c r="J467" s="1">
        <v>585000</v>
      </c>
      <c r="K467" s="1">
        <v>362700</v>
      </c>
      <c r="L467" s="1">
        <v>222300</v>
      </c>
    </row>
    <row r="468" spans="1:12" x14ac:dyDescent="0.35">
      <c r="A468" s="3" t="s">
        <v>960</v>
      </c>
      <c r="B468" s="2">
        <v>46005</v>
      </c>
      <c r="C468" s="3" t="s">
        <v>961</v>
      </c>
      <c r="D468" s="3" t="s">
        <v>22</v>
      </c>
      <c r="E468" s="3" t="s">
        <v>18</v>
      </c>
      <c r="F468" s="3" t="s">
        <v>19</v>
      </c>
      <c r="G468" s="3">
        <v>9</v>
      </c>
      <c r="H468" s="3">
        <v>1800</v>
      </c>
      <c r="I468" s="3">
        <v>0.02</v>
      </c>
      <c r="J468" s="3">
        <v>15876</v>
      </c>
      <c r="K468" s="3">
        <v>12224.52</v>
      </c>
      <c r="L468" s="3">
        <v>3651.4799999999996</v>
      </c>
    </row>
    <row r="469" spans="1:12" x14ac:dyDescent="0.35">
      <c r="A469" s="1" t="s">
        <v>962</v>
      </c>
      <c r="B469" s="4">
        <v>45784</v>
      </c>
      <c r="C469" s="1" t="s">
        <v>963</v>
      </c>
      <c r="D469" s="1" t="s">
        <v>31</v>
      </c>
      <c r="E469" s="1" t="s">
        <v>18</v>
      </c>
      <c r="F469" s="1" t="s">
        <v>81</v>
      </c>
      <c r="G469" s="1">
        <v>4</v>
      </c>
      <c r="H469" s="1">
        <v>9500</v>
      </c>
      <c r="I469" s="1">
        <v>0.05</v>
      </c>
      <c r="J469" s="1">
        <v>36100</v>
      </c>
      <c r="K469" s="1">
        <v>28158</v>
      </c>
      <c r="L469" s="1">
        <v>7942</v>
      </c>
    </row>
    <row r="470" spans="1:12" x14ac:dyDescent="0.35">
      <c r="A470" s="3" t="s">
        <v>964</v>
      </c>
      <c r="B470" s="2">
        <v>45800</v>
      </c>
      <c r="C470" s="3" t="s">
        <v>965</v>
      </c>
      <c r="D470" s="3" t="s">
        <v>22</v>
      </c>
      <c r="E470" s="3" t="s">
        <v>13</v>
      </c>
      <c r="F470" s="3" t="s">
        <v>14</v>
      </c>
      <c r="G470" s="3">
        <v>7</v>
      </c>
      <c r="H470" s="3">
        <v>65000</v>
      </c>
      <c r="I470" s="3">
        <v>0.15</v>
      </c>
      <c r="J470" s="3">
        <v>386750</v>
      </c>
      <c r="K470" s="3">
        <v>235917.5</v>
      </c>
      <c r="L470" s="3">
        <v>150832.5</v>
      </c>
    </row>
    <row r="471" spans="1:12" x14ac:dyDescent="0.35">
      <c r="A471" s="1" t="s">
        <v>966</v>
      </c>
      <c r="B471" s="4">
        <v>45933</v>
      </c>
      <c r="C471" s="1" t="s">
        <v>967</v>
      </c>
      <c r="D471" s="1" t="s">
        <v>22</v>
      </c>
      <c r="E471" s="1" t="s">
        <v>23</v>
      </c>
      <c r="F471" s="1" t="s">
        <v>51</v>
      </c>
      <c r="G471" s="1">
        <v>1</v>
      </c>
      <c r="H471" s="1">
        <v>4500</v>
      </c>
      <c r="I471" s="1">
        <v>0</v>
      </c>
      <c r="J471" s="1">
        <v>4500</v>
      </c>
      <c r="K471" s="1">
        <v>3555</v>
      </c>
      <c r="L471" s="1">
        <v>945</v>
      </c>
    </row>
    <row r="472" spans="1:12" x14ac:dyDescent="0.35">
      <c r="A472" s="3" t="s">
        <v>968</v>
      </c>
      <c r="B472" s="2">
        <v>45706</v>
      </c>
      <c r="C472" s="3" t="s">
        <v>969</v>
      </c>
      <c r="D472" s="3" t="s">
        <v>22</v>
      </c>
      <c r="E472" s="3" t="s">
        <v>18</v>
      </c>
      <c r="F472" s="3" t="s">
        <v>32</v>
      </c>
      <c r="G472" s="3">
        <v>2</v>
      </c>
      <c r="H472" s="3">
        <v>15000</v>
      </c>
      <c r="I472" s="3">
        <v>0.1</v>
      </c>
      <c r="J472" s="3">
        <v>27000</v>
      </c>
      <c r="K472" s="3">
        <v>19710</v>
      </c>
      <c r="L472" s="3">
        <v>7290</v>
      </c>
    </row>
    <row r="473" spans="1:12" x14ac:dyDescent="0.35">
      <c r="A473" s="1" t="s">
        <v>970</v>
      </c>
      <c r="B473" s="4">
        <v>45921</v>
      </c>
      <c r="C473" s="1" t="s">
        <v>971</v>
      </c>
      <c r="D473" s="1" t="s">
        <v>22</v>
      </c>
      <c r="E473" s="1" t="s">
        <v>27</v>
      </c>
      <c r="F473" s="1" t="s">
        <v>51</v>
      </c>
      <c r="G473" s="1">
        <v>7</v>
      </c>
      <c r="H473" s="1">
        <v>4500</v>
      </c>
      <c r="I473" s="1">
        <v>0.02</v>
      </c>
      <c r="J473" s="1">
        <v>30870</v>
      </c>
      <c r="K473" s="1">
        <v>18830.7</v>
      </c>
      <c r="L473" s="1">
        <v>12039.3</v>
      </c>
    </row>
    <row r="474" spans="1:12" x14ac:dyDescent="0.35">
      <c r="A474" s="3" t="s">
        <v>972</v>
      </c>
      <c r="B474" s="2">
        <v>45827</v>
      </c>
      <c r="C474" s="3" t="s">
        <v>973</v>
      </c>
      <c r="D474" s="3" t="s">
        <v>22</v>
      </c>
      <c r="E474" s="3" t="s">
        <v>13</v>
      </c>
      <c r="F474" s="3" t="s">
        <v>44</v>
      </c>
      <c r="G474" s="3">
        <v>3</v>
      </c>
      <c r="H474" s="3">
        <v>12500</v>
      </c>
      <c r="I474" s="3">
        <v>0.02</v>
      </c>
      <c r="J474" s="3">
        <v>36750</v>
      </c>
      <c r="K474" s="3">
        <v>23152.5</v>
      </c>
      <c r="L474" s="3">
        <v>13597.5</v>
      </c>
    </row>
    <row r="475" spans="1:12" x14ac:dyDescent="0.35">
      <c r="A475" s="1" t="s">
        <v>974</v>
      </c>
      <c r="B475" s="4">
        <v>45906</v>
      </c>
      <c r="C475" s="1" t="s">
        <v>975</v>
      </c>
      <c r="D475" s="1" t="s">
        <v>17</v>
      </c>
      <c r="E475" s="1" t="s">
        <v>27</v>
      </c>
      <c r="F475" s="1" t="s">
        <v>24</v>
      </c>
      <c r="G475" s="1">
        <v>7</v>
      </c>
      <c r="H475" s="1">
        <v>2200</v>
      </c>
      <c r="I475" s="1">
        <v>0</v>
      </c>
      <c r="J475" s="1">
        <v>15400</v>
      </c>
      <c r="K475" s="1">
        <v>9548</v>
      </c>
      <c r="L475" s="1">
        <v>5852</v>
      </c>
    </row>
    <row r="476" spans="1:12" x14ac:dyDescent="0.35">
      <c r="A476" s="3" t="s">
        <v>976</v>
      </c>
      <c r="B476" s="2">
        <v>45908</v>
      </c>
      <c r="C476" s="3" t="s">
        <v>977</v>
      </c>
      <c r="D476" s="3" t="s">
        <v>12</v>
      </c>
      <c r="E476" s="3" t="s">
        <v>27</v>
      </c>
      <c r="F476" s="3" t="s">
        <v>14</v>
      </c>
      <c r="G476" s="3">
        <v>8</v>
      </c>
      <c r="H476" s="3">
        <v>65000</v>
      </c>
      <c r="I476" s="3">
        <v>0.08</v>
      </c>
      <c r="J476" s="3">
        <v>478400</v>
      </c>
      <c r="K476" s="3">
        <v>287040</v>
      </c>
      <c r="L476" s="3">
        <v>191360</v>
      </c>
    </row>
    <row r="477" spans="1:12" x14ac:dyDescent="0.35">
      <c r="A477" s="1" t="s">
        <v>978</v>
      </c>
      <c r="B477" s="4">
        <v>45680</v>
      </c>
      <c r="C477" s="1" t="s">
        <v>979</v>
      </c>
      <c r="D477" s="1" t="s">
        <v>31</v>
      </c>
      <c r="E477" s="1" t="s">
        <v>23</v>
      </c>
      <c r="F477" s="1" t="s">
        <v>19</v>
      </c>
      <c r="G477" s="1">
        <v>8</v>
      </c>
      <c r="H477" s="1">
        <v>1800</v>
      </c>
      <c r="I477" s="1">
        <v>0.15</v>
      </c>
      <c r="J477" s="1">
        <v>12240</v>
      </c>
      <c r="K477" s="1">
        <v>7956</v>
      </c>
      <c r="L477" s="1">
        <v>4284</v>
      </c>
    </row>
    <row r="478" spans="1:12" x14ac:dyDescent="0.35">
      <c r="A478" s="3" t="s">
        <v>980</v>
      </c>
      <c r="B478" s="2">
        <v>46009</v>
      </c>
      <c r="C478" s="3" t="s">
        <v>981</v>
      </c>
      <c r="D478" s="3" t="s">
        <v>12</v>
      </c>
      <c r="E478" s="3" t="s">
        <v>18</v>
      </c>
      <c r="F478" s="3" t="s">
        <v>32</v>
      </c>
      <c r="G478" s="3">
        <v>1</v>
      </c>
      <c r="H478" s="3">
        <v>15000</v>
      </c>
      <c r="I478" s="3">
        <v>0.1</v>
      </c>
      <c r="J478" s="3">
        <v>13500</v>
      </c>
      <c r="K478" s="3">
        <v>10800</v>
      </c>
      <c r="L478" s="3">
        <v>2700</v>
      </c>
    </row>
    <row r="479" spans="1:12" x14ac:dyDescent="0.35">
      <c r="A479" s="1" t="s">
        <v>982</v>
      </c>
      <c r="B479" s="4">
        <v>45817</v>
      </c>
      <c r="C479" s="1" t="s">
        <v>983</v>
      </c>
      <c r="D479" s="1" t="s">
        <v>17</v>
      </c>
      <c r="E479" s="1" t="s">
        <v>13</v>
      </c>
      <c r="F479" s="1" t="s">
        <v>24</v>
      </c>
      <c r="G479" s="1">
        <v>7</v>
      </c>
      <c r="H479" s="1">
        <v>2200</v>
      </c>
      <c r="I479" s="1">
        <v>0.05</v>
      </c>
      <c r="J479" s="1">
        <v>14630</v>
      </c>
      <c r="K479" s="1">
        <v>11557.7</v>
      </c>
      <c r="L479" s="1">
        <v>3072.2999999999993</v>
      </c>
    </row>
    <row r="480" spans="1:12" x14ac:dyDescent="0.35">
      <c r="A480" s="3" t="s">
        <v>984</v>
      </c>
      <c r="B480" s="2">
        <v>45963</v>
      </c>
      <c r="C480" s="3" t="s">
        <v>985</v>
      </c>
      <c r="D480" s="3" t="s">
        <v>12</v>
      </c>
      <c r="E480" s="3" t="s">
        <v>23</v>
      </c>
      <c r="F480" s="3" t="s">
        <v>39</v>
      </c>
      <c r="G480" s="3">
        <v>3</v>
      </c>
      <c r="H480" s="3">
        <v>250</v>
      </c>
      <c r="I480" s="3">
        <v>0</v>
      </c>
      <c r="J480" s="3">
        <v>750</v>
      </c>
      <c r="K480" s="3">
        <v>600</v>
      </c>
      <c r="L480" s="3">
        <v>150</v>
      </c>
    </row>
    <row r="481" spans="1:12" x14ac:dyDescent="0.35">
      <c r="A481" s="1" t="s">
        <v>986</v>
      </c>
      <c r="B481" s="4">
        <v>45821</v>
      </c>
      <c r="C481" s="1" t="s">
        <v>987</v>
      </c>
      <c r="D481" s="1" t="s">
        <v>31</v>
      </c>
      <c r="E481" s="1" t="s">
        <v>18</v>
      </c>
      <c r="F481" s="1" t="s">
        <v>14</v>
      </c>
      <c r="G481" s="1">
        <v>3</v>
      </c>
      <c r="H481" s="1">
        <v>65000</v>
      </c>
      <c r="I481" s="1">
        <v>0.1</v>
      </c>
      <c r="J481" s="1">
        <v>175500</v>
      </c>
      <c r="K481" s="1">
        <v>136890</v>
      </c>
      <c r="L481" s="1">
        <v>38610</v>
      </c>
    </row>
    <row r="482" spans="1:12" x14ac:dyDescent="0.35">
      <c r="A482" s="3" t="s">
        <v>988</v>
      </c>
      <c r="B482" s="2">
        <v>45831</v>
      </c>
      <c r="C482" s="3" t="s">
        <v>989</v>
      </c>
      <c r="D482" s="3" t="s">
        <v>31</v>
      </c>
      <c r="E482" s="3" t="s">
        <v>27</v>
      </c>
      <c r="F482" s="3" t="s">
        <v>44</v>
      </c>
      <c r="G482" s="3">
        <v>7</v>
      </c>
      <c r="H482" s="3">
        <v>12500</v>
      </c>
      <c r="I482" s="3">
        <v>0.05</v>
      </c>
      <c r="J482" s="3">
        <v>83125</v>
      </c>
      <c r="K482" s="3">
        <v>60681.25</v>
      </c>
      <c r="L482" s="3">
        <v>22443.75</v>
      </c>
    </row>
    <row r="483" spans="1:12" x14ac:dyDescent="0.35">
      <c r="A483" s="1" t="s">
        <v>990</v>
      </c>
      <c r="B483" s="4">
        <v>45953</v>
      </c>
      <c r="C483" s="1" t="s">
        <v>991</v>
      </c>
      <c r="D483" s="1" t="s">
        <v>17</v>
      </c>
      <c r="E483" s="1" t="s">
        <v>13</v>
      </c>
      <c r="F483" s="1" t="s">
        <v>14</v>
      </c>
      <c r="G483" s="1">
        <v>3</v>
      </c>
      <c r="H483" s="1">
        <v>65000</v>
      </c>
      <c r="I483" s="1">
        <v>0.1</v>
      </c>
      <c r="J483" s="1">
        <v>175500</v>
      </c>
      <c r="K483" s="1">
        <v>126360</v>
      </c>
      <c r="L483" s="1">
        <v>49140</v>
      </c>
    </row>
    <row r="484" spans="1:12" x14ac:dyDescent="0.35">
      <c r="A484" s="3" t="s">
        <v>992</v>
      </c>
      <c r="B484" s="2">
        <v>45768</v>
      </c>
      <c r="C484" s="3" t="s">
        <v>993</v>
      </c>
      <c r="D484" s="3" t="s">
        <v>22</v>
      </c>
      <c r="E484" s="3" t="s">
        <v>13</v>
      </c>
      <c r="F484" s="3" t="s">
        <v>28</v>
      </c>
      <c r="G484" s="3">
        <v>6</v>
      </c>
      <c r="H484" s="3">
        <v>18000</v>
      </c>
      <c r="I484" s="3">
        <v>0.05</v>
      </c>
      <c r="J484" s="3">
        <v>102600</v>
      </c>
      <c r="K484" s="3">
        <v>77976</v>
      </c>
      <c r="L484" s="3">
        <v>24624</v>
      </c>
    </row>
    <row r="485" spans="1:12" x14ac:dyDescent="0.35">
      <c r="A485" s="1" t="s">
        <v>994</v>
      </c>
      <c r="B485" s="4">
        <v>46006</v>
      </c>
      <c r="C485" s="1" t="s">
        <v>995</v>
      </c>
      <c r="D485" s="1" t="s">
        <v>22</v>
      </c>
      <c r="E485" s="1" t="s">
        <v>23</v>
      </c>
      <c r="F485" s="1" t="s">
        <v>28</v>
      </c>
      <c r="G485" s="1">
        <v>5</v>
      </c>
      <c r="H485" s="1">
        <v>18000</v>
      </c>
      <c r="I485" s="1">
        <v>0.1</v>
      </c>
      <c r="J485" s="1">
        <v>81000</v>
      </c>
      <c r="K485" s="1">
        <v>57510</v>
      </c>
      <c r="L485" s="1">
        <v>23490</v>
      </c>
    </row>
    <row r="486" spans="1:12" x14ac:dyDescent="0.35">
      <c r="A486" s="3" t="s">
        <v>996</v>
      </c>
      <c r="B486" s="2">
        <v>45968</v>
      </c>
      <c r="C486" s="3" t="s">
        <v>997</v>
      </c>
      <c r="D486" s="3" t="s">
        <v>22</v>
      </c>
      <c r="E486" s="3" t="s">
        <v>27</v>
      </c>
      <c r="F486" s="3" t="s">
        <v>19</v>
      </c>
      <c r="G486" s="3">
        <v>7</v>
      </c>
      <c r="H486" s="3">
        <v>1800</v>
      </c>
      <c r="I486" s="3">
        <v>0</v>
      </c>
      <c r="J486" s="3">
        <v>12600</v>
      </c>
      <c r="K486" s="3">
        <v>8568</v>
      </c>
      <c r="L486" s="3">
        <v>4032</v>
      </c>
    </row>
    <row r="487" spans="1:12" x14ac:dyDescent="0.35">
      <c r="A487" s="1" t="s">
        <v>998</v>
      </c>
      <c r="B487" s="4">
        <v>45738</v>
      </c>
      <c r="C487" s="1" t="s">
        <v>999</v>
      </c>
      <c r="D487" s="1" t="s">
        <v>17</v>
      </c>
      <c r="E487" s="1" t="s">
        <v>23</v>
      </c>
      <c r="F487" s="1" t="s">
        <v>28</v>
      </c>
      <c r="G487" s="1">
        <v>8</v>
      </c>
      <c r="H487" s="1">
        <v>18000</v>
      </c>
      <c r="I487" s="1">
        <v>0.05</v>
      </c>
      <c r="J487" s="1">
        <v>136800</v>
      </c>
      <c r="K487" s="1">
        <v>87552</v>
      </c>
      <c r="L487" s="1">
        <v>49248</v>
      </c>
    </row>
    <row r="488" spans="1:12" x14ac:dyDescent="0.35">
      <c r="A488" s="3" t="s">
        <v>1000</v>
      </c>
      <c r="B488" s="2">
        <v>45728</v>
      </c>
      <c r="C488" s="3" t="s">
        <v>1001</v>
      </c>
      <c r="D488" s="3" t="s">
        <v>12</v>
      </c>
      <c r="E488" s="3" t="s">
        <v>23</v>
      </c>
      <c r="F488" s="3" t="s">
        <v>70</v>
      </c>
      <c r="G488" s="3">
        <v>9</v>
      </c>
      <c r="H488" s="3">
        <v>28000</v>
      </c>
      <c r="I488" s="3">
        <v>0.1</v>
      </c>
      <c r="J488" s="3">
        <v>226800</v>
      </c>
      <c r="K488" s="3">
        <v>145152</v>
      </c>
      <c r="L488" s="3">
        <v>81648</v>
      </c>
    </row>
    <row r="489" spans="1:12" x14ac:dyDescent="0.35">
      <c r="A489" s="1" t="s">
        <v>1002</v>
      </c>
      <c r="B489" s="4">
        <v>45943</v>
      </c>
      <c r="C489" s="1" t="s">
        <v>1003</v>
      </c>
      <c r="D489" s="1" t="s">
        <v>22</v>
      </c>
      <c r="E489" s="1" t="s">
        <v>18</v>
      </c>
      <c r="F489" s="1" t="s">
        <v>44</v>
      </c>
      <c r="G489" s="1">
        <v>6</v>
      </c>
      <c r="H489" s="1">
        <v>12500</v>
      </c>
      <c r="I489" s="1">
        <v>0.05</v>
      </c>
      <c r="J489" s="1">
        <v>71250</v>
      </c>
      <c r="K489" s="1">
        <v>51300</v>
      </c>
      <c r="L489" s="1">
        <v>19950</v>
      </c>
    </row>
    <row r="490" spans="1:12" x14ac:dyDescent="0.35">
      <c r="A490" s="3" t="s">
        <v>1004</v>
      </c>
      <c r="B490" s="2">
        <v>45998</v>
      </c>
      <c r="C490" s="3" t="s">
        <v>1005</v>
      </c>
      <c r="D490" s="3" t="s">
        <v>12</v>
      </c>
      <c r="E490" s="3" t="s">
        <v>27</v>
      </c>
      <c r="F490" s="3" t="s">
        <v>19</v>
      </c>
      <c r="G490" s="3">
        <v>1</v>
      </c>
      <c r="H490" s="3">
        <v>1800</v>
      </c>
      <c r="I490" s="3">
        <v>0.1</v>
      </c>
      <c r="J490" s="3">
        <v>1620</v>
      </c>
      <c r="K490" s="3">
        <v>1085.4000000000001</v>
      </c>
      <c r="L490" s="3">
        <v>534.59999999999991</v>
      </c>
    </row>
    <row r="491" spans="1:12" x14ac:dyDescent="0.35">
      <c r="A491" s="1" t="s">
        <v>1006</v>
      </c>
      <c r="B491" s="4">
        <v>45992</v>
      </c>
      <c r="C491" s="1" t="s">
        <v>1007</v>
      </c>
      <c r="D491" s="1" t="s">
        <v>17</v>
      </c>
      <c r="E491" s="1" t="s">
        <v>27</v>
      </c>
      <c r="F491" s="1" t="s">
        <v>14</v>
      </c>
      <c r="G491" s="1">
        <v>10</v>
      </c>
      <c r="H491" s="1">
        <v>65000</v>
      </c>
      <c r="I491" s="1">
        <v>0.08</v>
      </c>
      <c r="J491" s="1">
        <v>598000</v>
      </c>
      <c r="K491" s="1">
        <v>472420</v>
      </c>
      <c r="L491" s="1">
        <v>125580</v>
      </c>
    </row>
    <row r="492" spans="1:12" x14ac:dyDescent="0.35">
      <c r="A492" s="3" t="s">
        <v>1008</v>
      </c>
      <c r="B492" s="2">
        <v>45798</v>
      </c>
      <c r="C492" s="3" t="s">
        <v>1009</v>
      </c>
      <c r="D492" s="3" t="s">
        <v>22</v>
      </c>
      <c r="E492" s="3" t="s">
        <v>23</v>
      </c>
      <c r="F492" s="3" t="s">
        <v>70</v>
      </c>
      <c r="G492" s="3">
        <v>1</v>
      </c>
      <c r="H492" s="3">
        <v>28000</v>
      </c>
      <c r="I492" s="3">
        <v>0.05</v>
      </c>
      <c r="J492" s="3">
        <v>26600</v>
      </c>
      <c r="K492" s="3">
        <v>18354</v>
      </c>
      <c r="L492" s="3">
        <v>8246</v>
      </c>
    </row>
    <row r="493" spans="1:12" x14ac:dyDescent="0.35">
      <c r="A493" s="1" t="s">
        <v>1010</v>
      </c>
      <c r="B493" s="4">
        <v>45792</v>
      </c>
      <c r="C493" s="1" t="s">
        <v>1011</v>
      </c>
      <c r="D493" s="1" t="s">
        <v>17</v>
      </c>
      <c r="E493" s="1" t="s">
        <v>13</v>
      </c>
      <c r="F493" s="1" t="s">
        <v>24</v>
      </c>
      <c r="G493" s="1">
        <v>3</v>
      </c>
      <c r="H493" s="1">
        <v>2200</v>
      </c>
      <c r="I493" s="1">
        <v>0.08</v>
      </c>
      <c r="J493" s="1">
        <v>6072</v>
      </c>
      <c r="K493" s="1">
        <v>4432.5600000000004</v>
      </c>
      <c r="L493" s="1">
        <v>1639.4399999999996</v>
      </c>
    </row>
    <row r="494" spans="1:12" x14ac:dyDescent="0.35">
      <c r="A494" s="3" t="s">
        <v>1012</v>
      </c>
      <c r="B494" s="2">
        <v>45864</v>
      </c>
      <c r="C494" s="3" t="s">
        <v>1013</v>
      </c>
      <c r="D494" s="3" t="s">
        <v>17</v>
      </c>
      <c r="E494" s="3" t="s">
        <v>13</v>
      </c>
      <c r="F494" s="3" t="s">
        <v>39</v>
      </c>
      <c r="G494" s="3">
        <v>10</v>
      </c>
      <c r="H494" s="3">
        <v>250</v>
      </c>
      <c r="I494" s="3">
        <v>0.05</v>
      </c>
      <c r="J494" s="3">
        <v>2375</v>
      </c>
      <c r="K494" s="3">
        <v>1900</v>
      </c>
      <c r="L494" s="3">
        <v>475</v>
      </c>
    </row>
    <row r="495" spans="1:12" x14ac:dyDescent="0.35">
      <c r="A495" s="1" t="s">
        <v>1014</v>
      </c>
      <c r="B495" s="4">
        <v>46002</v>
      </c>
      <c r="C495" s="1" t="s">
        <v>1015</v>
      </c>
      <c r="D495" s="1" t="s">
        <v>22</v>
      </c>
      <c r="E495" s="1" t="s">
        <v>13</v>
      </c>
      <c r="F495" s="1" t="s">
        <v>14</v>
      </c>
      <c r="G495" s="1">
        <v>9</v>
      </c>
      <c r="H495" s="1">
        <v>65000</v>
      </c>
      <c r="I495" s="1">
        <v>0.02</v>
      </c>
      <c r="J495" s="1">
        <v>573300</v>
      </c>
      <c r="K495" s="1">
        <v>366912</v>
      </c>
      <c r="L495" s="1">
        <v>206388</v>
      </c>
    </row>
    <row r="496" spans="1:12" x14ac:dyDescent="0.35">
      <c r="A496" s="3" t="s">
        <v>1016</v>
      </c>
      <c r="B496" s="2">
        <v>45715</v>
      </c>
      <c r="C496" s="3" t="s">
        <v>1017</v>
      </c>
      <c r="D496" s="3" t="s">
        <v>22</v>
      </c>
      <c r="E496" s="3" t="s">
        <v>27</v>
      </c>
      <c r="F496" s="3" t="s">
        <v>81</v>
      </c>
      <c r="G496" s="3">
        <v>3</v>
      </c>
      <c r="H496" s="3">
        <v>9500</v>
      </c>
      <c r="I496" s="3">
        <v>0</v>
      </c>
      <c r="J496" s="3">
        <v>28500</v>
      </c>
      <c r="K496" s="3">
        <v>21945</v>
      </c>
      <c r="L496" s="3">
        <v>6555</v>
      </c>
    </row>
    <row r="497" spans="1:12" x14ac:dyDescent="0.35">
      <c r="A497" s="1" t="s">
        <v>1018</v>
      </c>
      <c r="B497" s="4">
        <v>45765</v>
      </c>
      <c r="C497" s="1" t="s">
        <v>1019</v>
      </c>
      <c r="D497" s="1" t="s">
        <v>17</v>
      </c>
      <c r="E497" s="1" t="s">
        <v>13</v>
      </c>
      <c r="F497" s="1" t="s">
        <v>51</v>
      </c>
      <c r="G497" s="1">
        <v>7</v>
      </c>
      <c r="H497" s="1">
        <v>4500</v>
      </c>
      <c r="I497" s="1">
        <v>0.1</v>
      </c>
      <c r="J497" s="1">
        <v>28350</v>
      </c>
      <c r="K497" s="1">
        <v>19845</v>
      </c>
      <c r="L497" s="1">
        <v>8505</v>
      </c>
    </row>
    <row r="498" spans="1:12" x14ac:dyDescent="0.35">
      <c r="A498" s="3" t="s">
        <v>1020</v>
      </c>
      <c r="B498" s="2">
        <v>45992</v>
      </c>
      <c r="C498" s="3" t="s">
        <v>1021</v>
      </c>
      <c r="D498" s="3" t="s">
        <v>12</v>
      </c>
      <c r="E498" s="3" t="s">
        <v>27</v>
      </c>
      <c r="F498" s="3" t="s">
        <v>19</v>
      </c>
      <c r="G498" s="3">
        <v>1</v>
      </c>
      <c r="H498" s="3">
        <v>1800</v>
      </c>
      <c r="I498" s="3">
        <v>0</v>
      </c>
      <c r="J498" s="3">
        <v>1800</v>
      </c>
      <c r="K498" s="3">
        <v>1224</v>
      </c>
      <c r="L498" s="3">
        <v>576</v>
      </c>
    </row>
    <row r="499" spans="1:12" x14ac:dyDescent="0.35">
      <c r="A499" s="1" t="s">
        <v>1022</v>
      </c>
      <c r="B499" s="4">
        <v>45691</v>
      </c>
      <c r="C499" s="1" t="s">
        <v>1023</v>
      </c>
      <c r="D499" s="1" t="s">
        <v>12</v>
      </c>
      <c r="E499" s="1" t="s">
        <v>18</v>
      </c>
      <c r="F499" s="1" t="s">
        <v>44</v>
      </c>
      <c r="G499" s="1">
        <v>10</v>
      </c>
      <c r="H499" s="1">
        <v>12500</v>
      </c>
      <c r="I499" s="1">
        <v>0.02</v>
      </c>
      <c r="J499" s="1">
        <v>122500</v>
      </c>
      <c r="K499" s="1">
        <v>86975</v>
      </c>
      <c r="L499" s="1">
        <v>35525</v>
      </c>
    </row>
    <row r="500" spans="1:12" x14ac:dyDescent="0.35">
      <c r="A500" s="3" t="s">
        <v>1024</v>
      </c>
      <c r="B500" s="2">
        <v>45901</v>
      </c>
      <c r="C500" s="3" t="s">
        <v>1025</v>
      </c>
      <c r="D500" s="3" t="s">
        <v>31</v>
      </c>
      <c r="E500" s="3" t="s">
        <v>23</v>
      </c>
      <c r="F500" s="3" t="s">
        <v>51</v>
      </c>
      <c r="G500" s="3">
        <v>10</v>
      </c>
      <c r="H500" s="3">
        <v>4500</v>
      </c>
      <c r="I500" s="3">
        <v>0.15</v>
      </c>
      <c r="J500" s="3">
        <v>38250</v>
      </c>
      <c r="K500" s="3">
        <v>24480</v>
      </c>
      <c r="L500" s="3">
        <v>13770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F4FB00-E3BE-450A-B923-D2E6F88DF7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 Pivot</vt:lpstr>
      <vt:lpstr>Monthly Sales</vt:lpstr>
      <vt:lpstr>Region Sales</vt:lpstr>
      <vt:lpstr>Category Performance</vt:lpstr>
      <vt:lpstr>Product Sales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nainvaya</dc:creator>
  <cp:lastModifiedBy>manish nainvaya</cp:lastModifiedBy>
  <dcterms:created xsi:type="dcterms:W3CDTF">2026-09-25T11:33:24Z</dcterms:created>
  <dcterms:modified xsi:type="dcterms:W3CDTF">2026-10-06T16:13:31Z</dcterms:modified>
</cp:coreProperties>
</file>